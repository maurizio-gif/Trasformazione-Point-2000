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RL P&amp;L" sheetId="2" state="visible" r:id="rId2"/>
    <sheet xmlns:r="http://schemas.openxmlformats.org/officeDocument/2006/relationships" name="SSD P&amp;L" sheetId="3" state="visible" r:id="rId3"/>
    <sheet xmlns:r="http://schemas.openxmlformats.org/officeDocument/2006/relationships" name="Immobiliare" sheetId="4" state="visible" r:id="rId4"/>
    <sheet xmlns:r="http://schemas.openxmlformats.org/officeDocument/2006/relationships" name="Summary" sheetId="5" state="visible" r:id="rId5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4">
    <numFmt numFmtId="164" formatCode="0.0%;[RED]\(0.0%\);\-"/>
    <numFmt numFmtId="165" formatCode="&quot;€ &quot;#,##0;[RED]&quot;(€ &quot;#,##0\);\-"/>
    <numFmt numFmtId="166" formatCode="&quot;€ &quot;#,##0;&quot;(€ &quot;#,##0\);\-"/>
    <numFmt numFmtId="167" formatCode="0.0%;\(0.0%\);\-"/>
  </numFmts>
  <fonts count="17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color rgb="FF0000FF"/>
      <sz val="11"/>
    </font>
    <font>
      <name val="Cambria"/>
      <charset val="1"/>
      <family val="0"/>
      <color rgb="FF000000"/>
      <sz val="11"/>
    </font>
    <font>
      <name val="Cambria"/>
      <charset val="1"/>
      <family val="0"/>
      <color rgb="FF0000FF"/>
      <sz val="11"/>
    </font>
    <font>
      <name val="Cambria"/>
      <charset val="1"/>
      <family val="0"/>
      <b val="1"/>
      <color rgb="FF000000"/>
      <sz val="11"/>
    </font>
    <font>
      <name val="Cambria"/>
      <charset val="1"/>
      <family val="0"/>
      <b val="1"/>
      <sz val="11"/>
    </font>
    <font>
      <name val="Calibri"/>
      <charset val="1"/>
      <family val="0"/>
      <color rgb="FF008000"/>
      <sz val="11"/>
    </font>
    <font>
      <name val="Calibri"/>
      <charset val="1"/>
      <family val="0"/>
      <i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mbria"/>
      <sz val="11"/>
    </font>
  </fonts>
  <fills count="12">
    <fill>
      <patternFill/>
    </fill>
    <fill>
      <patternFill patternType="gray125"/>
    </fill>
    <fill>
      <patternFill patternType="solid">
        <fgColor rgb="FF1F4E78"/>
        <bgColor rgb="FF156082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9EAD3"/>
        <bgColor rgb="FFE2EFDA"/>
      </patternFill>
    </fill>
    <fill>
      <patternFill patternType="solid">
        <fgColor rgb="FFBDD7EE"/>
        <bgColor rgb="FFCCCC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CCCCCC"/>
      </patternFill>
    </fill>
    <fill>
      <patternFill patternType="solid">
        <fgColor rgb="FFF4CCCC"/>
        <bgColor rgb="FFD9D9D9"/>
      </patternFill>
    </fill>
    <fill>
      <patternFill patternType="solid">
        <fgColor rgb="FFE2EFDA"/>
        <bgColor rgb="FFE2F0D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 wrapText="1"/>
    </xf>
    <xf numFmtId="164" fontId="7" fillId="4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7" fillId="4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165" fontId="6" fillId="7" borderId="0" applyAlignment="1" pivotButton="0" quotePrefix="0" xfId="0">
      <alignment horizontal="center" vertical="center" wrapText="1"/>
    </xf>
    <xf numFmtId="164" fontId="6" fillId="7" borderId="0" applyAlignment="1" pivotButton="0" quotePrefix="0" xfId="0">
      <alignment horizontal="center" vertical="center" wrapText="1"/>
    </xf>
    <xf numFmtId="165" fontId="8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165" fontId="6" fillId="8" borderId="0" applyAlignment="1" pivotButton="0" quotePrefix="0" xfId="0">
      <alignment horizontal="center" vertical="center" wrapText="1"/>
    </xf>
    <xf numFmtId="164" fontId="6" fillId="8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165" fontId="8" fillId="4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general" vertical="bottom"/>
    </xf>
    <xf numFmtId="166" fontId="8" fillId="9" borderId="0" applyAlignment="1" pivotButton="0" quotePrefix="0" xfId="0">
      <alignment horizontal="general" vertical="bottom"/>
    </xf>
    <xf numFmtId="0" fontId="6" fillId="10" borderId="0" applyAlignment="1" pivotButton="0" quotePrefix="0" xfId="0">
      <alignment horizontal="center" vertical="center" wrapText="1"/>
    </xf>
    <xf numFmtId="166" fontId="8" fillId="10" borderId="0" applyAlignment="1" pivotButton="0" quotePrefix="0" xfId="0">
      <alignment horizontal="center" vertical="center" wrapText="1"/>
    </xf>
    <xf numFmtId="164" fontId="6" fillId="10" borderId="0" applyAlignment="1" pivotButton="0" quotePrefix="0" xfId="0">
      <alignment horizontal="center" vertical="center" wrapText="1"/>
    </xf>
    <xf numFmtId="167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8" fillId="7" borderId="0" applyAlignment="1" pivotButton="0" quotePrefix="0" xfId="0">
      <alignment horizontal="center" vertical="center" wrapText="1"/>
    </xf>
    <xf numFmtId="167" fontId="4" fillId="9" borderId="0" applyAlignment="1" pivotButton="0" quotePrefix="0" xfId="0">
      <alignment horizontal="general" vertical="bottom"/>
    </xf>
    <xf numFmtId="0" fontId="4" fillId="9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7" fontId="0" fillId="9" borderId="0" applyAlignment="1" pivotButton="0" quotePrefix="0" xfId="0">
      <alignment horizontal="general" vertical="bottom"/>
    </xf>
    <xf numFmtId="0" fontId="10" fillId="11" borderId="0" applyAlignment="1" pivotButton="0" quotePrefix="0" xfId="0">
      <alignment horizontal="general" vertical="bottom"/>
    </xf>
    <xf numFmtId="166" fontId="8" fillId="11" borderId="0" applyAlignment="1" pivotButton="0" quotePrefix="0" xfId="0">
      <alignment horizontal="general" vertical="bottom"/>
    </xf>
    <xf numFmtId="167" fontId="0" fillId="11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6" fillId="4" borderId="0" applyAlignment="1" pivotButton="0" quotePrefix="0" xfId="0">
      <alignment horizontal="center" vertical="center" wrapText="1"/>
    </xf>
    <xf numFmtId="165" fontId="6" fillId="10" borderId="0" applyAlignment="1" pivotButton="0" quotePrefix="0" xfId="0">
      <alignment horizontal="center" vertical="center" wrapText="1"/>
    </xf>
    <xf numFmtId="166" fontId="6" fillId="7" borderId="0" applyAlignment="1" pivotButton="0" quotePrefix="0" xfId="0">
      <alignment horizontal="center" vertical="center" wrapText="1"/>
    </xf>
    <xf numFmtId="167" fontId="6" fillId="7" borderId="0" applyAlignment="1" pivotButton="0" quotePrefix="0" xfId="0">
      <alignment horizontal="center" vertical="center" wrapText="1"/>
    </xf>
    <xf numFmtId="0" fontId="11" fillId="9" borderId="0" applyAlignment="1" pivotButton="0" quotePrefix="0" xfId="0">
      <alignment horizontal="general" vertical="bottom"/>
    </xf>
    <xf numFmtId="166" fontId="4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 wrapText="1"/>
    </xf>
    <xf numFmtId="164" fontId="7" fillId="4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7" fillId="4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16" fillId="0" borderId="0" pivotButton="0" quotePrefix="0" xfId="0"/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165" fontId="6" fillId="7" borderId="0" applyAlignment="1" pivotButton="0" quotePrefix="0" xfId="0">
      <alignment horizontal="center" vertical="center" wrapText="1"/>
    </xf>
    <xf numFmtId="164" fontId="6" fillId="7" borderId="0" applyAlignment="1" pivotButton="0" quotePrefix="0" xfId="0">
      <alignment horizontal="center" vertical="center" wrapText="1"/>
    </xf>
    <xf numFmtId="165" fontId="8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165" fontId="6" fillId="8" borderId="0" applyAlignment="1" pivotButton="0" quotePrefix="0" xfId="0">
      <alignment horizontal="center" vertical="center" wrapText="1"/>
    </xf>
    <xf numFmtId="164" fontId="6" fillId="8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165" fontId="8" fillId="4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general" vertical="bottom"/>
    </xf>
    <xf numFmtId="166" fontId="8" fillId="9" borderId="0" applyAlignment="1" pivotButton="0" quotePrefix="0" xfId="0">
      <alignment horizontal="general" vertical="bottom"/>
    </xf>
    <xf numFmtId="0" fontId="6" fillId="10" borderId="0" applyAlignment="1" pivotButton="0" quotePrefix="0" xfId="0">
      <alignment horizontal="center" vertical="center" wrapText="1"/>
    </xf>
    <xf numFmtId="166" fontId="8" fillId="10" borderId="0" applyAlignment="1" pivotButton="0" quotePrefix="0" xfId="0">
      <alignment horizontal="center" vertical="center" wrapText="1"/>
    </xf>
    <xf numFmtId="164" fontId="6" fillId="10" borderId="0" applyAlignment="1" pivotButton="0" quotePrefix="0" xfId="0">
      <alignment horizontal="center" vertical="center" wrapText="1"/>
    </xf>
    <xf numFmtId="167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8" fillId="7" borderId="0" applyAlignment="1" pivotButton="0" quotePrefix="0" xfId="0">
      <alignment horizontal="center" vertical="center" wrapText="1"/>
    </xf>
    <xf numFmtId="167" fontId="4" fillId="9" borderId="0" applyAlignment="1" pivotButton="0" quotePrefix="0" xfId="0">
      <alignment horizontal="general" vertical="bottom"/>
    </xf>
    <xf numFmtId="0" fontId="4" fillId="9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7" fontId="0" fillId="9" borderId="0" applyAlignment="1" pivotButton="0" quotePrefix="0" xfId="0">
      <alignment horizontal="general" vertical="bottom"/>
    </xf>
    <xf numFmtId="0" fontId="10" fillId="11" borderId="0" applyAlignment="1" pivotButton="0" quotePrefix="0" xfId="0">
      <alignment horizontal="general" vertical="bottom"/>
    </xf>
    <xf numFmtId="166" fontId="8" fillId="11" borderId="0" applyAlignment="1" pivotButton="0" quotePrefix="0" xfId="0">
      <alignment horizontal="general" vertical="bottom"/>
    </xf>
    <xf numFmtId="167" fontId="0" fillId="11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6" fillId="4" borderId="0" applyAlignment="1" pivotButton="0" quotePrefix="0" xfId="0">
      <alignment horizontal="center" vertical="center" wrapText="1"/>
    </xf>
    <xf numFmtId="165" fontId="6" fillId="10" borderId="0" applyAlignment="1" pivotButton="0" quotePrefix="0" xfId="0">
      <alignment horizontal="center" vertical="center" wrapText="1"/>
    </xf>
    <xf numFmtId="166" fontId="6" fillId="7" borderId="0" applyAlignment="1" pivotButton="0" quotePrefix="0" xfId="0">
      <alignment horizontal="center" vertical="center" wrapText="1"/>
    </xf>
    <xf numFmtId="167" fontId="6" fillId="7" borderId="0" applyAlignment="1" pivotButton="0" quotePrefix="0" xfId="0">
      <alignment horizontal="center" vertical="center" wrapText="1"/>
    </xf>
    <xf numFmtId="0" fontId="11" fillId="9" borderId="0" applyAlignment="1" pivotButton="0" quotePrefix="0" xfId="0">
      <alignment horizontal="general" vertical="bottom"/>
    </xf>
    <xf numFmtId="166" fontId="4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2CC"/>
      <rgbColor rgb="FFD9EA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E2EFDA"/>
      <rgbColor rgb="FFE2F0D9"/>
      <rgbColor rgb="FFFCE4D6"/>
      <rgbColor rgb="FFD9D9D9"/>
      <rgbColor rgb="FFFF99CC"/>
      <rgbColor rgb="FFD9EAD3"/>
      <rgbColor rgb="FFF4CCCC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Ricavi / Costi / EBITDA per entità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"Series 1"</f>
              <strCache>
                <ptCount val="1"/>
                <pt idx="0">
                  <v>Series 1</v>
                </pt>
              </strCache>
            </strRef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Summary!$A$4:$A$6</f>
              <strCache>
                <ptCount val="3"/>
                <pt idx="0">
                  <v>Ricavi</v>
                </pt>
                <pt idx="1">
                  <v>Costi operativi</v>
                </pt>
                <pt idx="2">
                  <v>EBITDA</v>
                </pt>
              </strCache>
            </strRef>
          </cat>
          <val>
            <numRef>
              <f>Summary!$B$4:$B$6</f>
              <numCache>
                <formatCode>"€ "#,##0;[RED]"(€ "#,##0\);\-</formatCode>
                <ptCount val="3"/>
                <pt idx="0">
                  <v>2130000</v>
                </pt>
                <pt idx="1">
                  <v>40000</v>
                </pt>
                <pt idx="2">
                  <v>860688.524590164</v>
                </pt>
              </numCache>
            </numRef>
          </val>
        </ser>
        <ser>
          <idx val="1"/>
          <order val="1"/>
          <tx>
            <strRef>
              <f>"Series 2"</f>
              <strCache>
                <ptCount val="1"/>
                <pt idx="0">
                  <v>Series 2</v>
                </pt>
              </strCache>
            </strRef>
          </tx>
          <spPr>
            <a:solidFill xmlns:a="http://schemas.openxmlformats.org/drawingml/2006/main">
              <a:srgbClr val="e97132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Summary!$A$4:$A$6</f>
              <strCache>
                <ptCount val="3"/>
                <pt idx="0">
                  <v>Ricavi</v>
                </pt>
                <pt idx="1">
                  <v>Costi operativi</v>
                </pt>
                <pt idx="2">
                  <v>EBITDA</v>
                </pt>
              </strCache>
            </strRef>
          </cat>
          <val>
            <numRef>
              <f>Summary!$C$4:$C$6</f>
              <numCache>
                <formatCode>"€ "#,##0;[RED]"(€ "#,##0\);\-</formatCode>
                <ptCount val="3"/>
                <pt idx="0">
                  <v>700000</v>
                </pt>
                <pt idx="1">
                  <v>700000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"Series 3"</f>
              <strCache>
                <ptCount val="1"/>
                <pt idx="0">
                  <v>Series 3</v>
                </pt>
              </strCache>
            </strRef>
          </tx>
          <spPr>
            <a:solidFill xmlns:a="http://schemas.openxmlformats.org/drawingml/2006/main">
              <a:srgbClr val="196b24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0"/>
          </dLbls>
          <cat>
            <strRef>
              <f>Summary!$A$4:$A$6</f>
              <strCache>
                <ptCount val="3"/>
                <pt idx="0">
                  <v>Ricavi</v>
                </pt>
                <pt idx="1">
                  <v>Costi operativi</v>
                </pt>
                <pt idx="2">
                  <v>EBITDA</v>
                </pt>
              </strCache>
            </strRef>
          </cat>
          <val>
            <numRef>
              <f>Summary!$D$4:$D$6</f>
              <numCache>
                <formatCode>"€ "#,##0;[RED]"(€ "#,##0\);\-</formatCode>
                <ptCount val="3"/>
                <pt idx="0">
                  <v>450000</v>
                </pt>
                <pt idx="1">
                  <v>-80000</v>
                </pt>
                <pt idx="2">
                  <v>370000</v>
                </pt>
              </numCache>
            </numRef>
          </val>
        </ser>
        <gapWidth val="150"/>
        <overlap val="0"/>
        <axId val="82627885"/>
        <axId val="7814248"/>
      </barChart>
      <catAx>
        <axId val="82627885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/>
            </a:r>
          </a:p>
        </txPr>
        <crossAx val="7814248"/>
        <crosses val="autoZero"/>
        <auto val="1"/>
        <lblAlgn val="ctr"/>
        <lblOffset val="100"/>
        <noMultiLvlLbl val="0"/>
      </catAx>
      <valAx>
        <axId val="781424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  <a:round/>
            </a:ln>
          </spPr>
        </majorGridlines>
        <numFmt formatCode="&quot;€ &quot;#,##0;[RED]&quot;(€ &quot;#,##0\);\-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/>
            </a:r>
          </a:p>
        </txPr>
        <crossAx val="82627885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14</row>
      <rowOff>0</rowOff>
    </from>
    <to>
      <col>13</col>
      <colOff>607320</colOff>
      <row>25</row>
      <rowOff>116280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4" min="1" max="1"/>
    <col width="34" customWidth="1" style="54" min="2" max="2"/>
    <col width="16" customWidth="1" style="54" min="3" max="3"/>
    <col width="14" customWidth="1" style="54" min="4" max="5"/>
    <col width="12" customWidth="1" style="54" min="6" max="6"/>
    <col width="14" customWidth="1" style="54" min="7" max="7"/>
    <col width="20" customWidth="1" style="54" min="8" max="8"/>
  </cols>
  <sheetData>
    <row r="1" ht="24" customHeight="1" s="55">
      <c r="A1" s="56" t="inlineStr">
        <is>
          <t>Assunzioni modello SRL / SSD / Immobiliare</t>
        </is>
      </c>
    </row>
    <row r="3" ht="15" customHeight="1" s="55">
      <c r="A3" s="57" t="inlineStr">
        <is>
          <t>Categoria</t>
        </is>
      </c>
      <c r="B3" s="57" t="inlineStr">
        <is>
          <t>Voce</t>
        </is>
      </c>
      <c r="C3" s="57" t="inlineStr">
        <is>
          <t>Base input</t>
        </is>
      </c>
      <c r="D3" s="57" t="inlineStr">
        <is>
          <t>Valore input</t>
        </is>
      </c>
      <c r="E3" s="57" t="inlineStr">
        <is>
          <t>Valore netto</t>
        </is>
      </c>
      <c r="F3" s="57" t="inlineStr">
        <is>
          <t>IVA</t>
        </is>
      </c>
      <c r="G3" s="57" t="inlineStr">
        <is>
          <t>Cash lordo</t>
        </is>
      </c>
      <c r="H3" s="57" t="inlineStr">
        <is>
          <t>Fonte</t>
        </is>
      </c>
    </row>
    <row r="4" ht="15" customHeight="1" s="55">
      <c r="A4" s="54" t="inlineStr">
        <is>
          <t>Core</t>
        </is>
      </c>
      <c r="B4" s="54" t="inlineStr">
        <is>
          <t>Aliquota IVA</t>
        </is>
      </c>
      <c r="C4" s="54" t="inlineStr">
        <is>
          <t>Percentuale</t>
        </is>
      </c>
      <c r="D4" s="58" t="n">
        <v>0.22</v>
      </c>
      <c r="E4" s="59">
        <f>D4</f>
        <v/>
      </c>
      <c r="F4" s="59">
        <f>0</f>
        <v/>
      </c>
      <c r="G4" s="59">
        <f>D4</f>
        <v/>
      </c>
      <c r="H4" s="54" t="inlineStr">
        <is>
          <t>Assunzione base</t>
        </is>
      </c>
    </row>
    <row r="5" ht="15" customHeight="1" s="55">
      <c r="A5" s="54" t="inlineStr">
        <is>
          <t>Ricavi</t>
        </is>
      </c>
      <c r="B5" s="54" t="inlineStr">
        <is>
          <t>Ricavi diretti SRL</t>
        </is>
      </c>
      <c r="C5" s="54" t="inlineStr">
        <is>
          <t>Net + VAT</t>
        </is>
      </c>
      <c r="D5" s="60" t="n">
        <v>1700000</v>
      </c>
      <c r="E5" s="61">
        <f>IF(C5="Gross incl. VAT",D5/(1+$D$4),D5)</f>
        <v/>
      </c>
      <c r="F5" s="61">
        <f>IF(C5="Gross incl. VAT",D5-E5,IF(C5="Net + VAT",D5*$D$4,0))</f>
        <v/>
      </c>
      <c r="G5" s="61">
        <f>IF(C5="Gross incl. VAT",D5,IF(C5="Net + VAT",D5*(1+$D$4),D5))</f>
        <v/>
      </c>
      <c r="H5" s="54" t="inlineStr">
        <is>
          <t>Utente</t>
        </is>
      </c>
    </row>
    <row r="6" ht="15" customHeight="1" s="55">
      <c r="A6" s="54" t="inlineStr">
        <is>
          <t>Ricavi</t>
        </is>
      </c>
      <c r="B6" s="54" t="inlineStr">
        <is>
          <t>Ricavi esterni SSD</t>
        </is>
      </c>
      <c r="C6" s="54" t="inlineStr">
        <is>
          <t>No VAT</t>
        </is>
      </c>
      <c r="D6" s="60" t="n">
        <v>700000</v>
      </c>
      <c r="E6" s="61">
        <f>IF(C6="Gross incl. VAT",D6/(1+$D$4),D6)</f>
        <v/>
      </c>
      <c r="F6" s="61">
        <f>IF(C6="Gross incl. VAT",D6-E6,IF(C6="Net + VAT",D6*$D$4,0))</f>
        <v/>
      </c>
      <c r="G6" s="61">
        <f>IF(C6="Gross incl. VAT",D6,IF(C6="Net + VAT",D6*(1+$D$4),D6))</f>
        <v/>
      </c>
      <c r="H6" s="54" t="inlineStr">
        <is>
          <t>Utente</t>
        </is>
      </c>
    </row>
    <row r="7" ht="15" customHeight="1" s="55">
      <c r="A7" s="54" t="inlineStr">
        <is>
          <t>Intercompany</t>
        </is>
      </c>
      <c r="B7" s="54" t="inlineStr">
        <is>
          <t>Canone spazi SSD -&gt; SRL</t>
        </is>
      </c>
      <c r="C7" s="54" t="inlineStr">
        <is>
          <t>Net + VAT</t>
        </is>
      </c>
      <c r="D7" s="60" t="n">
        <v>200000</v>
      </c>
      <c r="E7" s="61">
        <f>IF(C7="Gross incl. VAT",D7/(1+$D$4),D7)</f>
        <v/>
      </c>
      <c r="F7" s="61">
        <f>IF(C7="Gross incl. VAT",D7-E7,IF(C7="Net + VAT",D7*$D$4,0))</f>
        <v/>
      </c>
      <c r="G7" s="61">
        <f>IF(C7="Gross incl. VAT",D7,IF(C7="Net + VAT",D7*(1+$D$4),D7))</f>
        <v/>
      </c>
      <c r="H7" s="54" t="inlineStr">
        <is>
          <t>Assunzione condivisa</t>
        </is>
      </c>
    </row>
    <row r="8" ht="15" customHeight="1" s="55">
      <c r="A8" s="54" t="inlineStr">
        <is>
          <t>Intercompany</t>
        </is>
      </c>
      <c r="B8" s="54" t="inlineStr">
        <is>
          <t>Servizi SRL -&gt; SSD</t>
        </is>
      </c>
      <c r="C8" s="54" t="inlineStr">
        <is>
          <t>Net + VAT</t>
        </is>
      </c>
      <c r="D8" s="60" t="n">
        <v>230000</v>
      </c>
      <c r="E8" s="61">
        <f>IF(C8="Gross incl. VAT",D8/(1+$D$4),D8)</f>
        <v/>
      </c>
      <c r="F8" s="61">
        <f>IF(C8="Gross incl. VAT",D8-E8,IF(C8="Net + VAT",D8*$D$4,0))</f>
        <v/>
      </c>
      <c r="G8" s="61">
        <f>IF(C8="Gross incl. VAT",D8,IF(C8="Net + VAT",D8*(1+$D$4),D8))</f>
        <v/>
      </c>
      <c r="H8" s="54" t="inlineStr">
        <is>
          <t>Assunzione condivisa</t>
        </is>
      </c>
    </row>
    <row r="9" ht="15" customHeight="1" s="55">
      <c r="A9" s="54" t="inlineStr">
        <is>
          <t>Intercompany</t>
        </is>
      </c>
      <c r="B9" s="54" t="inlineStr">
        <is>
          <t>Locazione SRL -&gt; Immobiliare</t>
        </is>
      </c>
      <c r="C9" s="54" t="inlineStr">
        <is>
          <t>Net + VAT</t>
        </is>
      </c>
      <c r="D9" s="60" t="n">
        <v>300000</v>
      </c>
      <c r="E9" s="61">
        <f>IF(C9="Gross incl. VAT",D9/(1+$D$4),D9)</f>
        <v/>
      </c>
      <c r="F9" s="61">
        <f>IF(C9="Gross incl. VAT",D9-E9,IF(C9="Net + VAT",D9*$D$4,0))</f>
        <v/>
      </c>
      <c r="G9" s="61">
        <f>IF(C9="Gross incl. VAT",D9,IF(C9="Net + VAT",D9*(1+$D$4),D9))</f>
        <v/>
      </c>
      <c r="H9" s="54" t="inlineStr">
        <is>
          <t>Utente</t>
        </is>
      </c>
    </row>
    <row r="10" ht="15" customHeight="1" s="55">
      <c r="A10" s="54" t="inlineStr">
        <is>
          <t>Intercompany</t>
        </is>
      </c>
      <c r="B10" s="54" t="inlineStr">
        <is>
          <t>Servizi impianti SRL -&gt; Immobiliare</t>
        </is>
      </c>
      <c r="C10" s="54" t="inlineStr">
        <is>
          <t>Net + VAT</t>
        </is>
      </c>
      <c r="D10" s="60" t="n">
        <v>150000</v>
      </c>
      <c r="E10" s="61">
        <f>IF(C10="Gross incl. VAT",D10/(1+$D$4),D10)</f>
        <v/>
      </c>
      <c r="F10" s="61">
        <f>IF(C10="Gross incl. VAT",D10-E10,IF(C10="Net + VAT",D10*$D$4,0))</f>
        <v/>
      </c>
      <c r="G10" s="61">
        <f>IF(C10="Gross incl. VAT",D10,IF(C10="Net + VAT",D10*(1+$D$4),D10))</f>
        <v/>
      </c>
      <c r="H10" s="54" t="inlineStr">
        <is>
          <t>Utente</t>
        </is>
      </c>
    </row>
    <row r="11" ht="15" customHeight="1" s="55">
      <c r="A11" s="54" t="inlineStr">
        <is>
          <t>Costi SRL</t>
        </is>
      </c>
      <c r="B11" s="54" t="inlineStr">
        <is>
          <t>Personale SRL</t>
        </is>
      </c>
      <c r="C11" s="54" t="inlineStr">
        <is>
          <t>No VAT</t>
        </is>
      </c>
      <c r="D11" s="60" t="n">
        <v>380000</v>
      </c>
      <c r="E11" s="61">
        <f>IF(C11="Gross incl. VAT",D11/(1+$D$4),D11)</f>
        <v/>
      </c>
      <c r="F11" s="61">
        <f>IF(C11="Gross incl. VAT",D11-E11,IF(C11="Net + VAT",D11*$D$4,0))</f>
        <v/>
      </c>
      <c r="G11" s="61">
        <f>IF(C11="Gross incl. VAT",D11,IF(C11="Net + VAT",D11*(1+$D$4),D11))</f>
        <v/>
      </c>
      <c r="H11" s="54" t="inlineStr">
        <is>
          <t>Utente</t>
        </is>
      </c>
    </row>
    <row r="12" ht="15" customHeight="1" s="55">
      <c r="A12" s="54" t="inlineStr">
        <is>
          <t>Costi SRL</t>
        </is>
      </c>
      <c r="B12" s="54" t="inlineStr">
        <is>
          <t>Energia SRL</t>
        </is>
      </c>
      <c r="C12" s="54" t="inlineStr">
        <is>
          <t>Gross incl. VAT</t>
        </is>
      </c>
      <c r="D12" s="60" t="n">
        <v>140000</v>
      </c>
      <c r="E12" s="61">
        <f>IF(C12="Gross incl. VAT",D12/(1+$D$4),D12)</f>
        <v/>
      </c>
      <c r="F12" s="61">
        <f>IF(C12="Gross incl. VAT",D12-E12,IF(C12="Net + VAT",D12*$D$4,0))</f>
        <v/>
      </c>
      <c r="G12" s="61">
        <f>IF(C12="Gross incl. VAT",D12,IF(C12="Net + VAT",D12*(1+$D$4),D12))</f>
        <v/>
      </c>
      <c r="H12" s="54" t="inlineStr">
        <is>
          <t>Utente</t>
        </is>
      </c>
    </row>
    <row r="13" ht="15" customHeight="1" s="55">
      <c r="A13" s="54" t="inlineStr">
        <is>
          <t>Costi SRL</t>
        </is>
      </c>
      <c r="B13" s="54" t="inlineStr">
        <is>
          <t>Acqua SRL</t>
        </is>
      </c>
      <c r="C13" s="54" t="inlineStr">
        <is>
          <t>Gross incl. VAT</t>
        </is>
      </c>
      <c r="D13" s="60" t="n">
        <v>30000</v>
      </c>
      <c r="E13" s="61">
        <f>IF(C13="Gross incl. VAT",D13/(1+$D$4),D13)</f>
        <v/>
      </c>
      <c r="F13" s="61">
        <f>IF(C13="Gross incl. VAT",D13-E13,IF(C13="Net + VAT",D13*$D$4,0))</f>
        <v/>
      </c>
      <c r="G13" s="61">
        <f>IF(C13="Gross incl. VAT",D13,IF(C13="Net + VAT",D13*(1+$D$4),D13))</f>
        <v/>
      </c>
      <c r="H13" s="54" t="inlineStr">
        <is>
          <t>Utente</t>
        </is>
      </c>
    </row>
    <row r="14" ht="15" customHeight="1" s="55">
      <c r="A14" s="54" t="inlineStr">
        <is>
          <t>Costi SRL</t>
        </is>
      </c>
      <c r="B14" s="54" t="inlineStr">
        <is>
          <t>Pulizie SRL</t>
        </is>
      </c>
      <c r="C14" s="54" t="inlineStr">
        <is>
          <t>Gross incl. VAT</t>
        </is>
      </c>
      <c r="D14" s="60" t="n">
        <v>100000</v>
      </c>
      <c r="E14" s="61">
        <f>IF(C14="Gross incl. VAT",D14/(1+$D$4),D14)</f>
        <v/>
      </c>
      <c r="F14" s="61">
        <f>IF(C14="Gross incl. VAT",D14-E14,IF(C14="Net + VAT",D14*$D$4,0))</f>
        <v/>
      </c>
      <c r="G14" s="61">
        <f>IF(C14="Gross incl. VAT",D14,IF(C14="Net + VAT",D14*(1+$D$4),D14))</f>
        <v/>
      </c>
      <c r="H14" s="54" t="inlineStr">
        <is>
          <t>Utente</t>
        </is>
      </c>
    </row>
    <row r="15" ht="15" customHeight="1" s="55">
      <c r="A15" s="54" t="inlineStr">
        <is>
          <t>Costi SRL</t>
        </is>
      </c>
      <c r="B15" s="54" t="inlineStr">
        <is>
          <t>Commercialista SRL</t>
        </is>
      </c>
      <c r="C15" s="54" t="inlineStr">
        <is>
          <t>Net + VAT</t>
        </is>
      </c>
      <c r="D15" s="60" t="n">
        <v>12000</v>
      </c>
      <c r="E15" s="61">
        <f>IF(C15="Gross incl. VAT",D15/(1+$D$4),D15)</f>
        <v/>
      </c>
      <c r="F15" s="61">
        <f>IF(C15="Gross incl. VAT",D15-E15,IF(C15="Net + VAT",D15*$D$4,0))</f>
        <v/>
      </c>
      <c r="G15" s="61">
        <f>IF(C15="Gross incl. VAT",D15,IF(C15="Net + VAT",D15*(1+$D$4),D15))</f>
        <v/>
      </c>
      <c r="H15" s="54" t="inlineStr">
        <is>
          <t>Utente</t>
        </is>
      </c>
    </row>
    <row r="16" ht="15" customHeight="1" s="55">
      <c r="A16" s="54" t="inlineStr">
        <is>
          <t>Costi SRL</t>
        </is>
      </c>
      <c r="B16" s="54" t="inlineStr">
        <is>
          <t>Legale SRL</t>
        </is>
      </c>
      <c r="C16" s="54" t="inlineStr">
        <is>
          <t>Net + VAT</t>
        </is>
      </c>
      <c r="D16" s="60" t="n">
        <v>15000</v>
      </c>
      <c r="E16" s="61">
        <f>IF(C16="Gross incl. VAT",D16/(1+$D$4),D16)</f>
        <v/>
      </c>
      <c r="F16" s="61">
        <f>IF(C16="Gross incl. VAT",D16-E16,IF(C16="Net + VAT",D16*$D$4,0))</f>
        <v/>
      </c>
      <c r="G16" s="61">
        <f>IF(C16="Gross incl. VAT",D16,IF(C16="Net + VAT",D16*(1+$D$4),D16))</f>
        <v/>
      </c>
      <c r="H16" s="54" t="inlineStr">
        <is>
          <t>Utente</t>
        </is>
      </c>
    </row>
    <row r="17" ht="15" customHeight="1" s="55">
      <c r="A17" s="54" t="inlineStr">
        <is>
          <t>Costi SRL</t>
        </is>
      </c>
      <c r="B17" s="54" t="inlineStr">
        <is>
          <t>Commissioni pagamenti SRL</t>
        </is>
      </c>
      <c r="C17" s="54" t="inlineStr">
        <is>
          <t>Net + VAT</t>
        </is>
      </c>
      <c r="D17" s="60" t="n">
        <v>30000</v>
      </c>
      <c r="E17" s="61">
        <f>IF(C17="Gross incl. VAT",D17/(1+$D$4),D17)</f>
        <v/>
      </c>
      <c r="F17" s="61">
        <f>IF(C17="Gross incl. VAT",D17-E17,IF(C17="Net + VAT",D17*$D$4,0))</f>
        <v/>
      </c>
      <c r="G17" s="61">
        <f>IF(C17="Gross incl. VAT",D17,IF(C17="Net + VAT",D17*(1+$D$4),D17))</f>
        <v/>
      </c>
      <c r="H17" s="54" t="inlineStr">
        <is>
          <t>Utente</t>
        </is>
      </c>
    </row>
    <row r="18" ht="15" customHeight="1" s="55">
      <c r="A18" s="54" t="inlineStr">
        <is>
          <t>Costi SRL</t>
        </is>
      </c>
      <c r="B18" s="54" t="inlineStr">
        <is>
          <t>Marketing SRL</t>
        </is>
      </c>
      <c r="C18" s="54" t="inlineStr">
        <is>
          <t>Net + VAT</t>
        </is>
      </c>
      <c r="D18" s="60" t="n">
        <v>30000</v>
      </c>
      <c r="E18" s="61">
        <f>IF(C18="Gross incl. VAT",D18/(1+$D$4),D18)</f>
        <v/>
      </c>
      <c r="F18" s="61">
        <f>IF(C18="Gross incl. VAT",D18-E18,IF(C18="Net + VAT",D18*$D$4,0))</f>
        <v/>
      </c>
      <c r="G18" s="61">
        <f>IF(C18="Gross incl. VAT",D18,IF(C18="Net + VAT",D18*(1+$D$4),D18))</f>
        <v/>
      </c>
      <c r="H18" s="54" t="inlineStr">
        <is>
          <t>Utente</t>
        </is>
      </c>
    </row>
    <row r="19" ht="15" customHeight="1" s="55">
      <c r="A19" s="54" t="inlineStr">
        <is>
          <t>Costi SRL</t>
        </is>
      </c>
      <c r="B19" s="54" t="inlineStr">
        <is>
          <t>Software vari SRL</t>
        </is>
      </c>
      <c r="C19" s="54" t="inlineStr">
        <is>
          <t>Net + VAT</t>
        </is>
      </c>
      <c r="D19" s="60" t="n">
        <v>30000</v>
      </c>
      <c r="E19" s="61">
        <f>IF(C19="Gross incl. VAT",D19/(1+$D$4),D19)</f>
        <v/>
      </c>
      <c r="F19" s="61">
        <f>IF(C19="Gross incl. VAT",D19-E19,IF(C19="Net + VAT",D19*$D$4,0))</f>
        <v/>
      </c>
      <c r="G19" s="61">
        <f>IF(C19="Gross incl. VAT",D19,IF(C19="Net + VAT",D19*(1+$D$4),D19))</f>
        <v/>
      </c>
      <c r="H19" s="54" t="inlineStr">
        <is>
          <t>Utente</t>
        </is>
      </c>
    </row>
    <row r="20" ht="15" customHeight="1" s="55">
      <c r="A20" s="54" t="inlineStr">
        <is>
          <t>Costi SRL</t>
        </is>
      </c>
      <c r="B20" s="54" t="inlineStr">
        <is>
          <t>Manutenzione SRL</t>
        </is>
      </c>
      <c r="C20" s="54" t="inlineStr">
        <is>
          <t>Net + VAT</t>
        </is>
      </c>
      <c r="D20" s="60" t="n">
        <v>30000</v>
      </c>
      <c r="E20" s="61">
        <f>IF(C20="Gross incl. VAT",D20/(1+$D$4),D20)</f>
        <v/>
      </c>
      <c r="F20" s="61">
        <f>IF(C20="Gross incl. VAT",D20-E20,IF(C20="Net + VAT",D20*$D$4,0))</f>
        <v/>
      </c>
      <c r="G20" s="61">
        <f>IF(C20="Gross incl. VAT",D20,IF(C20="Net + VAT",D20*(1+$D$4),D20))</f>
        <v/>
      </c>
      <c r="H20" s="54" t="inlineStr">
        <is>
          <t>Utente</t>
        </is>
      </c>
    </row>
    <row r="21" ht="15" customHeight="1" s="55">
      <c r="A21" s="54" t="inlineStr">
        <is>
          <t>Costi SRL</t>
        </is>
      </c>
      <c r="B21" s="54" t="inlineStr">
        <is>
          <t>Acquisti vari SRL</t>
        </is>
      </c>
      <c r="C21" s="54" t="inlineStr">
        <is>
          <t>Net + VAT</t>
        </is>
      </c>
      <c r="D21" s="60" t="n">
        <v>40000</v>
      </c>
      <c r="E21" s="61">
        <f>IF(C21="Gross incl. VAT",D21/(1+$D$4),D21)</f>
        <v/>
      </c>
      <c r="F21" s="61">
        <f>IF(C21="Gross incl. VAT",D21-E21,IF(C21="Net + VAT",D21*$D$4,0))</f>
        <v/>
      </c>
      <c r="G21" s="61">
        <f>IF(C21="Gross incl. VAT",D21,IF(C21="Net + VAT",D21*(1+$D$4),D21))</f>
        <v/>
      </c>
      <c r="H21" s="54" t="inlineStr">
        <is>
          <t>Utente</t>
        </is>
      </c>
    </row>
    <row r="22" ht="15" customHeight="1" s="55">
      <c r="A22" s="54" t="inlineStr">
        <is>
          <t>Costi SSD</t>
        </is>
      </c>
      <c r="B22" s="54" t="inlineStr">
        <is>
          <t>Personale SSD</t>
        </is>
      </c>
      <c r="C22" s="54" t="inlineStr">
        <is>
          <t>No VAT</t>
        </is>
      </c>
      <c r="D22" s="60" t="n">
        <v>250000</v>
      </c>
      <c r="E22" s="61">
        <f>IF(C22="Gross incl. VAT",D22/(1+$D$4),D22)</f>
        <v/>
      </c>
      <c r="F22" s="61">
        <f>IF(C22="Gross incl. VAT",D22-E22,IF(C22="Net + VAT",D22*$D$4,0))</f>
        <v/>
      </c>
      <c r="G22" s="61">
        <f>IF(C22="Gross incl. VAT",D22,IF(C22="Net + VAT",D22*(1+$D$4),D22))</f>
        <v/>
      </c>
      <c r="H22" s="54" t="inlineStr">
        <is>
          <t>Utente</t>
        </is>
      </c>
    </row>
    <row r="23" ht="15" customHeight="1" s="55">
      <c r="A23" s="54" t="inlineStr">
        <is>
          <t>Costi SSD</t>
        </is>
      </c>
      <c r="B23" s="54" t="inlineStr">
        <is>
          <t>Materiale sportivo SSD</t>
        </is>
      </c>
      <c r="C23" s="54" t="inlineStr">
        <is>
          <t>No VAT</t>
        </is>
      </c>
      <c r="D23" s="60" t="n">
        <v>10000</v>
      </c>
      <c r="E23" s="61">
        <f>IF(C23="Gross incl. VAT",D23/(1+$D$4),D23)</f>
        <v/>
      </c>
      <c r="F23" s="61">
        <f>IF(C23="Gross incl. VAT",D23-E23,IF(C23="Net + VAT",D23*$D$4,0))</f>
        <v/>
      </c>
      <c r="G23" s="61">
        <f>IF(C23="Gross incl. VAT",D23,IF(C23="Net + VAT",D23*(1+$D$4),D23))</f>
        <v/>
      </c>
      <c r="H23" s="54" t="inlineStr">
        <is>
          <t>Utente</t>
        </is>
      </c>
    </row>
    <row r="24" ht="15" customHeight="1" s="55">
      <c r="A24" s="54" t="inlineStr">
        <is>
          <t>Costi SSD</t>
        </is>
      </c>
      <c r="B24" s="54" t="inlineStr">
        <is>
          <t>Affiliazioni e tesseramenti SSD</t>
        </is>
      </c>
      <c r="C24" s="54" t="inlineStr">
        <is>
          <t>No VAT</t>
        </is>
      </c>
      <c r="D24" s="60" t="n">
        <v>10000</v>
      </c>
      <c r="E24" s="61">
        <f>IF(C24="Gross incl. VAT",D24/(1+$D$4),D24)</f>
        <v/>
      </c>
      <c r="F24" s="61">
        <f>IF(C24="Gross incl. VAT",D24-E24,IF(C24="Net + VAT",D24*$D$4,0))</f>
        <v/>
      </c>
      <c r="G24" s="61">
        <f>IF(C24="Gross incl. VAT",D24,IF(C24="Net + VAT",D24*(1+$D$4),D24))</f>
        <v/>
      </c>
      <c r="H24" s="54" t="inlineStr">
        <is>
          <t>Utente</t>
        </is>
      </c>
    </row>
    <row r="25" ht="15" customHeight="1" s="55">
      <c r="A25" s="62" t="inlineStr">
        <is>
          <t>Compenso Amm.</t>
        </is>
      </c>
      <c r="B25" s="62" t="inlineStr">
        <is>
          <t>Compenso amministratore SRL</t>
        </is>
      </c>
      <c r="C25" s="63" t="inlineStr">
        <is>
          <t>Net + VAT</t>
        </is>
      </c>
      <c r="D25" s="64" t="n">
        <v>25000</v>
      </c>
      <c r="E25" s="64" t="n">
        <v>25000</v>
      </c>
      <c r="F25" s="64" t="n">
        <v>0</v>
      </c>
      <c r="G25" s="64" t="n">
        <v>25000</v>
      </c>
      <c r="H25" s="62" t="inlineStr">
        <is>
          <t>Utente</t>
        </is>
      </c>
    </row>
    <row r="26" ht="15" customHeight="1" s="55">
      <c r="A26" s="62" t="inlineStr">
        <is>
          <t>Ammortamenti</t>
        </is>
      </c>
      <c r="B26" s="62" t="inlineStr">
        <is>
          <t>Ammortamenti SRL</t>
        </is>
      </c>
      <c r="C26" s="63" t="inlineStr">
        <is>
          <t>No VAT</t>
        </is>
      </c>
      <c r="D26" s="64" t="n">
        <v>350000</v>
      </c>
      <c r="E26" s="64" t="n">
        <v>350000</v>
      </c>
      <c r="F26" s="64" t="n">
        <v>0</v>
      </c>
      <c r="G26" s="64" t="n">
        <v>350000</v>
      </c>
      <c r="H26" s="62" t="inlineStr">
        <is>
          <t>Utente — stima 2027 post-trasformazione</t>
        </is>
      </c>
    </row>
    <row r="27" ht="15" customHeight="1" s="55">
      <c r="A27" s="65" t="inlineStr">
        <is>
          <t>Ammortamenti</t>
        </is>
      </c>
      <c r="B27" s="65" t="inlineStr">
        <is>
          <t>Ammortamenti SSD 2026 (pre-trasformazione)</t>
        </is>
      </c>
      <c r="C27" s="65" t="inlineStr">
        <is>
          <t>No VAT</t>
        </is>
      </c>
      <c r="D27" s="65" t="n">
        <v>269548</v>
      </c>
      <c r="E27" s="65" t="n">
        <v>269548</v>
      </c>
      <c r="F27" s="65" t="n">
        <v>0</v>
      </c>
      <c r="G27" s="65" t="n">
        <v>269548</v>
      </c>
      <c r="H27" s="65" t="inlineStr">
        <is>
          <t>Utente — ammortamenti 2026 escluso usufrutto</t>
        </is>
      </c>
    </row>
    <row r="28" ht="15" customHeight="1" s="55">
      <c r="A28" s="62" t="inlineStr">
        <is>
          <t>Costi Immob.</t>
        </is>
      </c>
      <c r="B28" s="62" t="inlineStr">
        <is>
          <t>Costi operativi Immobiliare</t>
        </is>
      </c>
      <c r="C28" s="63" t="inlineStr">
        <is>
          <t>No VAT</t>
        </is>
      </c>
      <c r="D28" s="64" t="n">
        <v>80000</v>
      </c>
      <c r="E28" s="64" t="n">
        <v>80000</v>
      </c>
      <c r="F28" s="64" t="n">
        <v>0</v>
      </c>
      <c r="G28" s="64" t="n">
        <v>80000</v>
      </c>
      <c r="H28" s="62" t="inlineStr">
        <is>
          <t>Utente</t>
        </is>
      </c>
    </row>
    <row r="29" ht="15" customHeight="1" s="55">
      <c r="A29" s="62" t="inlineStr">
        <is>
          <t>Costi Immob.</t>
        </is>
      </c>
      <c r="B29" s="62" t="inlineStr">
        <is>
          <t>Ammortamenti Immobiliare</t>
        </is>
      </c>
      <c r="C29" s="63" t="inlineStr">
        <is>
          <t>No VAT</t>
        </is>
      </c>
      <c r="D29" s="64" t="n">
        <v>100000</v>
      </c>
      <c r="E29" s="64" t="n">
        <v>100000</v>
      </c>
      <c r="F29" s="64" t="n">
        <v>0</v>
      </c>
      <c r="G29" s="64" t="n">
        <v>100000</v>
      </c>
      <c r="H29" s="62" t="inlineStr">
        <is>
          <t>Utente</t>
        </is>
      </c>
    </row>
    <row r="30" ht="15" customHeight="1" s="55">
      <c r="A30" s="62" t="inlineStr">
        <is>
          <t>TFM</t>
        </is>
      </c>
      <c r="B30" s="62" t="inlineStr">
        <is>
          <t>TFM amministratore SRL (annuo)</t>
        </is>
      </c>
      <c r="C30" s="62" t="inlineStr">
        <is>
          <t>No VAT</t>
        </is>
      </c>
      <c r="D30" s="64" t="n">
        <v>6000</v>
      </c>
      <c r="E30" s="64" t="n">
        <v>6000</v>
      </c>
      <c r="F30" s="64" t="n">
        <v>0</v>
      </c>
      <c r="G30" s="64" t="n">
        <v>6000</v>
      </c>
      <c r="H30" s="62" t="inlineStr">
        <is>
          <t>Difendibile - complessità gruppo multi-entità</t>
        </is>
      </c>
    </row>
    <row r="31">
      <c r="A31" s="62" t="inlineStr">
        <is>
          <t>Capex SRL</t>
        </is>
      </c>
      <c r="B31" s="62" t="inlineStr">
        <is>
          <t>Investimenti annui SRL (capex)</t>
        </is>
      </c>
      <c r="C31" s="62" t="inlineStr">
        <is>
          <t>Net + VAT</t>
        </is>
      </c>
      <c r="D31" s="64" t="n">
        <v>200000</v>
      </c>
      <c r="E31" s="64" t="n">
        <v>200000</v>
      </c>
      <c r="F31" s="64" t="n">
        <v>44000</v>
      </c>
      <c r="G31" s="64" t="n">
        <v>244000</v>
      </c>
      <c r="H31" s="62" t="inlineStr">
        <is>
          <t>Utente — coerente con ammortamenti</t>
        </is>
      </c>
    </row>
  </sheetData>
  <mergeCells count="1"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4" min="1" max="1"/>
    <col width="16" customWidth="1" style="54" min="2" max="2"/>
    <col width="12" customWidth="1" style="54" min="3" max="3"/>
    <col width="30" customWidth="1" style="54" min="4" max="4"/>
    <col width="34" customWidth="1" style="54" min="6" max="6"/>
    <col width="16" customWidth="1" style="54" min="7" max="7"/>
    <col width="12" customWidth="1" style="54" min="8" max="8"/>
  </cols>
  <sheetData>
    <row r="1" ht="24" customHeight="1" s="55">
      <c r="A1" s="56" t="inlineStr">
        <is>
          <t>SRL - Conto economico e bridge IVA</t>
        </is>
      </c>
    </row>
    <row r="3" ht="15" customHeight="1" s="55">
      <c r="A3" s="57" t="inlineStr">
        <is>
          <t>Voce</t>
        </is>
      </c>
      <c r="B3" s="57" t="inlineStr">
        <is>
          <t>Importo netto</t>
        </is>
      </c>
      <c r="C3" s="57" t="inlineStr">
        <is>
          <t>% ricavi SRL</t>
        </is>
      </c>
      <c r="D3" s="57" t="inlineStr">
        <is>
          <t>Note</t>
        </is>
      </c>
      <c r="E3" s="54" t="n"/>
      <c r="F3" s="66" t="inlineStr">
        <is>
          <t>Bridge IVA SRL</t>
        </is>
      </c>
      <c r="G3" s="66" t="inlineStr">
        <is>
          <t>Importo</t>
        </is>
      </c>
      <c r="H3" s="66" t="inlineStr">
        <is>
          <t>Note</t>
        </is>
      </c>
    </row>
    <row r="4" ht="15" customHeight="1" s="55">
      <c r="A4" s="67" t="inlineStr">
        <is>
          <t>Ricavi</t>
        </is>
      </c>
      <c r="B4" s="67" t="n"/>
      <c r="C4" s="67" t="n"/>
      <c r="D4" s="67" t="n"/>
      <c r="F4" s="54" t="inlineStr">
        <is>
          <t>IVA a debito su ricavi diretti SRL</t>
        </is>
      </c>
      <c r="G4" s="61">
        <f>Assumptions!F5</f>
        <v/>
      </c>
    </row>
    <row r="5" ht="15" customHeight="1" s="55">
      <c r="A5" s="54" t="inlineStr">
        <is>
          <t>Ricavi diretti SRL</t>
        </is>
      </c>
      <c r="B5" s="61">
        <f>Assumptions!E5</f>
        <v/>
      </c>
      <c r="C5" s="59">
        <f>IF($B$9=0,0,B5/$B$9)</f>
        <v/>
      </c>
      <c r="D5" s="54" t="inlineStr">
        <is>
          <t>Ricavi commerciali diretti</t>
        </is>
      </c>
      <c r="F5" s="54" t="inlineStr">
        <is>
          <t>IVA a debito su canone spazi SSD</t>
        </is>
      </c>
      <c r="G5" s="61">
        <f>Assumptions!F7</f>
        <v/>
      </c>
    </row>
    <row r="6" ht="15" customHeight="1" s="55">
      <c r="A6" s="54" t="inlineStr">
        <is>
          <t>Canone spazi da SSD</t>
        </is>
      </c>
      <c r="B6" s="61">
        <f>Assumptions!E7</f>
        <v/>
      </c>
      <c r="C6" s="59">
        <f>IF($B$9=0,0,B6/$B$9)</f>
        <v/>
      </c>
      <c r="D6" s="54" t="inlineStr">
        <is>
          <t>Intercompany</t>
        </is>
      </c>
      <c r="F6" s="54" t="inlineStr">
        <is>
          <t>IVA a debito su servizi a SSD</t>
        </is>
      </c>
      <c r="G6" s="61">
        <f>Assumptions!F8</f>
        <v/>
      </c>
    </row>
    <row r="7" ht="15" customHeight="1" s="55">
      <c r="A7" s="54" t="inlineStr">
        <is>
          <t>Servizi a SSD</t>
        </is>
      </c>
      <c r="B7" s="61">
        <f>Assumptions!E8</f>
        <v/>
      </c>
      <c r="C7" s="59">
        <f>IF($B$9=0,0,B7/$B$9)</f>
        <v/>
      </c>
      <c r="D7" s="54" t="inlineStr">
        <is>
          <t>Intercompany</t>
        </is>
      </c>
      <c r="F7" s="68" t="inlineStr">
        <is>
          <t>Totale IVA a debito</t>
        </is>
      </c>
      <c r="G7" s="69">
        <f>SUM(G4:G6)</f>
        <v/>
      </c>
      <c r="H7" s="68" t="n"/>
    </row>
    <row r="8" ht="15" customHeight="1" s="55">
      <c r="B8" s="61" t="n"/>
      <c r="C8" s="59">
        <f>IF($B$9=0,0,B8/$B$9)</f>
        <v/>
      </c>
      <c r="F8" s="54" t="inlineStr">
        <is>
          <t>IVA a credito costi SRL</t>
        </is>
      </c>
      <c r="G8" s="61">
        <f>SUM(Assumptions!F12:F21)</f>
        <v/>
      </c>
    </row>
    <row r="9" ht="15" customHeight="1" s="55">
      <c r="A9" s="54" t="inlineStr">
        <is>
          <t>Totale ricavi SRL</t>
        </is>
      </c>
      <c r="B9" s="62">
        <f>SUM(B5:B7)</f>
        <v/>
      </c>
      <c r="C9" s="54">
        <f>IF($B$9=0,0,B9/$B$9)</f>
        <v/>
      </c>
      <c r="F9" s="62" t="inlineStr">
        <is>
          <t>IVA a credito su Capex (200k x 22%)</t>
        </is>
      </c>
      <c r="G9" s="64" t="n">
        <v>44000</v>
      </c>
    </row>
    <row r="10" ht="15" customHeight="1" s="55">
      <c r="A10" s="68" t="inlineStr">
        <is>
          <t>Totale ricavi SRL</t>
        </is>
      </c>
      <c r="B10" s="69" t="n"/>
      <c r="C10" s="70" t="n"/>
      <c r="D10" s="68" t="n"/>
      <c r="F10" s="54" t="inlineStr">
        <is>
          <t>IVA a credito locazione + impianti</t>
        </is>
      </c>
      <c r="G10" s="61">
        <f>SUM(Assumptions!F9:F10)</f>
        <v/>
      </c>
    </row>
    <row r="11" ht="15" customHeight="1" s="55">
      <c r="B11" s="61" t="n"/>
      <c r="C11" s="59" t="n"/>
      <c r="F11" s="68" t="inlineStr">
        <is>
          <t>Totale IVA a credito</t>
        </is>
      </c>
      <c r="G11" s="71">
        <f>SUM(G8:G10)</f>
        <v/>
      </c>
      <c r="H11" s="68" t="n"/>
    </row>
    <row r="12" ht="15" customHeight="1" s="55">
      <c r="A12" s="72" t="inlineStr">
        <is>
          <t>Costi operativi</t>
        </is>
      </c>
      <c r="B12" s="73" t="n"/>
      <c r="C12" s="74" t="n"/>
      <c r="D12" s="72" t="n"/>
      <c r="F12" s="75" t="inlineStr">
        <is>
          <t>IVA netta da versare SRL</t>
        </is>
      </c>
      <c r="G12" s="76">
        <f>G7-G11</f>
        <v/>
      </c>
      <c r="H12" s="75" t="n"/>
    </row>
    <row r="13" ht="15" customHeight="1" s="55">
      <c r="F13" s="62" t="inlineStr">
        <is>
          <t>→ IVA capex già inclusa nel credito sopra</t>
        </is>
      </c>
      <c r="G13" s="64" t="n"/>
    </row>
    <row r="14" ht="15" customHeight="1" s="55">
      <c r="F14" s="77" t="inlineStr">
        <is>
          <t>IVA netta da versare (finale)</t>
        </is>
      </c>
      <c r="G14" s="78">
        <f>G12</f>
        <v/>
      </c>
    </row>
    <row r="15" ht="15" customHeight="1" s="55">
      <c r="A15" s="54" t="inlineStr">
        <is>
          <t>Personale SRL</t>
        </is>
      </c>
      <c r="B15" s="61">
        <f>Assumptions!E11</f>
        <v/>
      </c>
      <c r="C15" s="59">
        <f>IF($B$9=0,0,B12/$B$9)</f>
        <v/>
      </c>
    </row>
    <row r="16" ht="15" customHeight="1" s="55">
      <c r="A16" s="54" t="inlineStr">
        <is>
          <t>Energia SRL</t>
        </is>
      </c>
      <c r="B16" s="61">
        <f>Assumptions!E12</f>
        <v/>
      </c>
      <c r="C16" s="59">
        <f>IF($B$9=0,0,B13/$B$9)</f>
        <v/>
      </c>
    </row>
    <row r="17" ht="15" customHeight="1" s="55">
      <c r="A17" s="54" t="inlineStr">
        <is>
          <t>Acqua SRL</t>
        </is>
      </c>
      <c r="B17" s="61">
        <f>Assumptions!E13</f>
        <v/>
      </c>
      <c r="C17" s="59">
        <f>IF($B$9=0,0,B14/$B$9)</f>
        <v/>
      </c>
    </row>
    <row r="18" ht="15" customHeight="1" s="55">
      <c r="A18" s="54" t="inlineStr">
        <is>
          <t>Pulizie SRL</t>
        </is>
      </c>
      <c r="B18" s="61">
        <f>Assumptions!E14</f>
        <v/>
      </c>
      <c r="C18" s="59">
        <f>IF($B$9=0,0,B15/$B$9)</f>
        <v/>
      </c>
    </row>
    <row r="19" ht="15" customHeight="1" s="55">
      <c r="A19" s="54" t="inlineStr">
        <is>
          <t>Commercialista SRL</t>
        </is>
      </c>
      <c r="B19" s="61">
        <f>Assumptions!E15</f>
        <v/>
      </c>
      <c r="C19" s="59">
        <f>IF($B$9=0,0,B16/$B$9)</f>
        <v/>
      </c>
    </row>
    <row r="20" ht="15" customHeight="1" s="55">
      <c r="A20" s="54" t="inlineStr">
        <is>
          <t>Legale SRL</t>
        </is>
      </c>
      <c r="B20" s="61">
        <f>Assumptions!E16</f>
        <v/>
      </c>
      <c r="C20" s="59">
        <f>IF($B$9=0,0,B17/$B$9)</f>
        <v/>
      </c>
    </row>
    <row r="21" ht="15" customHeight="1" s="55">
      <c r="A21" s="54" t="inlineStr">
        <is>
          <t>Commissioni pagamenti SRL</t>
        </is>
      </c>
      <c r="B21" s="61">
        <f>Assumptions!E17</f>
        <v/>
      </c>
      <c r="C21" s="59">
        <f>IF($B$9=0,0,B18/$B$9)</f>
        <v/>
      </c>
    </row>
    <row r="22" ht="15" customHeight="1" s="55">
      <c r="A22" s="54" t="inlineStr">
        <is>
          <t>Marketing SRL</t>
        </is>
      </c>
      <c r="B22" s="61">
        <f>Assumptions!E18</f>
        <v/>
      </c>
      <c r="C22" s="59">
        <f>IF($B$9=0,0,B19/$B$9)</f>
        <v/>
      </c>
    </row>
    <row r="23" ht="15" customHeight="1" s="55">
      <c r="A23" s="54" t="inlineStr">
        <is>
          <t>Software vari SRL</t>
        </is>
      </c>
      <c r="B23" s="61">
        <f>Assumptions!E19</f>
        <v/>
      </c>
      <c r="C23" s="59">
        <f>IF($B$9=0,0,B20/$B$9)</f>
        <v/>
      </c>
    </row>
    <row r="24" ht="15" customHeight="1" s="55">
      <c r="A24" s="54" t="inlineStr">
        <is>
          <t>Manutenzione SRL</t>
        </is>
      </c>
      <c r="B24" s="61">
        <f>Assumptions!E20</f>
        <v/>
      </c>
      <c r="C24" s="59">
        <f>IF($B$9=0,0,B21/$B$9)</f>
        <v/>
      </c>
    </row>
    <row r="25" ht="15" customHeight="1" s="55">
      <c r="A25" s="54" t="inlineStr">
        <is>
          <t>Acquisti vari SRL</t>
        </is>
      </c>
      <c r="B25" s="61">
        <f>Assumptions!E21</f>
        <v/>
      </c>
      <c r="C25" s="59">
        <f>IF($B$9=0,0,B22/$B$9)</f>
        <v/>
      </c>
    </row>
    <row r="26" ht="15" customHeight="1" s="55">
      <c r="A26" s="54" t="inlineStr">
        <is>
          <t>Locazione da Immobiliare</t>
        </is>
      </c>
      <c r="B26" s="61">
        <f>Assumptions!E9</f>
        <v/>
      </c>
      <c r="C26" s="59">
        <f>IF($B$9=0,0,B23/$B$9)</f>
        <v/>
      </c>
    </row>
    <row r="27" ht="15" customHeight="1" s="55">
      <c r="A27" s="54" t="inlineStr">
        <is>
          <t>Servizi impianti da Immobiliare</t>
        </is>
      </c>
      <c r="B27" s="61">
        <f>Assumptions!E10</f>
        <v/>
      </c>
      <c r="C27" s="59">
        <f>IF($B$9=0,0,B24/$B$9)</f>
        <v/>
      </c>
    </row>
    <row r="28" ht="15" customHeight="1" s="55">
      <c r="A28" s="79" t="inlineStr">
        <is>
          <t>Totale costi SRL</t>
        </is>
      </c>
      <c r="B28" s="80">
        <f>SUM(B12:B27)+B30+B31</f>
        <v/>
      </c>
      <c r="C28" s="81">
        <f>IF($B$9=0,0,B25/$B$9)</f>
        <v/>
      </c>
      <c r="D28" s="79" t="n"/>
    </row>
    <row r="29" ht="15" customHeight="1" s="55">
      <c r="B29" s="61" t="n"/>
      <c r="C29" s="59" t="n"/>
    </row>
    <row r="30" ht="27.75" customHeight="1" s="55">
      <c r="A30" s="54" t="inlineStr">
        <is>
          <t>Compenso amministratore</t>
        </is>
      </c>
      <c r="B30" s="64" t="n">
        <v>25000</v>
      </c>
      <c r="C30" s="82">
        <f>IF($B$9=0,0,B27/$B$9)</f>
        <v/>
      </c>
      <c r="D30" s="54" t="inlineStr">
        <is>
          <t>Costo deducibile SRL</t>
        </is>
      </c>
    </row>
    <row r="31" ht="15" customHeight="1" s="55">
      <c r="A31" s="83" t="inlineStr">
        <is>
          <t>TFM amministratore</t>
        </is>
      </c>
      <c r="B31" s="64" t="n">
        <v>6000</v>
      </c>
      <c r="C31" s="84">
        <f>IF($B$9=0,0,B28/$B$9)</f>
        <v/>
      </c>
      <c r="D31" s="83" t="inlineStr">
        <is>
          <t>Accantonamento annuo — tassazione separata a fine mandato</t>
        </is>
      </c>
    </row>
    <row r="32" ht="15" customHeight="1" s="55"/>
    <row r="33" ht="15" customHeight="1" s="55"/>
    <row r="34" ht="15" customHeight="1" s="55">
      <c r="A34" s="68" t="inlineStr">
        <is>
          <t>EBITDA SRL</t>
        </is>
      </c>
      <c r="B34" s="85">
        <f>B9-B28</f>
        <v/>
      </c>
      <c r="C34" s="70">
        <f>IF($B$9=0,0,B34/$B$9)</f>
        <v/>
      </c>
      <c r="D34" s="68" t="inlineStr">
        <is>
          <t>Prima di ammortamenti, interessi e imposte</t>
        </is>
      </c>
      <c r="E34" s="54" t="n"/>
    </row>
    <row r="35" ht="15" customHeight="1" s="55">
      <c r="A35" s="54" t="inlineStr">
        <is>
          <t>Ammortamenti SRL 2027</t>
        </is>
      </c>
      <c r="B35" s="64" t="n">
        <v>-350000</v>
      </c>
      <c r="C35" s="82">
        <f>IF($B$9=0,0,B35/$B$9)</f>
        <v/>
      </c>
      <c r="D35" s="54" t="inlineStr">
        <is>
          <t>Stima 2027 — impianti, attrezzature, migliorie (escl. usufrutto)</t>
        </is>
      </c>
    </row>
    <row r="36" ht="15" customHeight="1" s="55">
      <c r="A36" t="inlineStr">
        <is>
          <t>Ammortamenti SSD 2026 (pre-trasformazione)</t>
        </is>
      </c>
      <c r="B36" t="n">
        <v>-269548</v>
      </c>
      <c r="C36" t="inlineStr"/>
      <c r="D36" t="inlineStr">
        <is>
          <t>Anno di transizione — valore effettivo 2026 (escl. usufrutto)</t>
        </is>
      </c>
    </row>
    <row r="37" ht="15" customHeight="1" s="55">
      <c r="A37" s="77" t="inlineStr">
        <is>
          <t>EBIT SRL</t>
        </is>
      </c>
      <c r="B37" s="78">
        <f>B34+B35</f>
        <v/>
      </c>
      <c r="C37" s="86">
        <f>IF($B$9=0,0,B36/$B$9)</f>
        <v/>
      </c>
      <c r="D37" s="87" t="inlineStr">
        <is>
          <t>Prima di interessi e imposte</t>
        </is>
      </c>
    </row>
    <row r="38" ht="15" customHeight="1" s="55">
      <c r="A38" s="54" t="inlineStr">
        <is>
          <t>IRES (24%)</t>
        </is>
      </c>
      <c r="B38" s="88">
        <f>IF(B36&gt;0,-B36*0.24,0)</f>
        <v/>
      </c>
      <c r="C38" s="82">
        <f>IF($B$9=0,0,B37/$B$9)</f>
        <v/>
      </c>
      <c r="D38" s="54" t="inlineStr">
        <is>
          <t>Aliquota ordinaria</t>
        </is>
      </c>
    </row>
    <row r="39" ht="15" customHeight="1" s="55">
      <c r="A39" s="54" t="inlineStr">
        <is>
          <t>IRAP (3.9%)</t>
        </is>
      </c>
      <c r="B39" s="88">
        <f>IF(B36&gt;0,-B36*0.039,0)</f>
        <v/>
      </c>
      <c r="C39" s="82">
        <f>IF($B$9=0,0,B38/$B$9)</f>
        <v/>
      </c>
      <c r="D39" s="54" t="inlineStr">
        <is>
          <t>Approssimazione — base IRAP ≠ EBIT</t>
        </is>
      </c>
    </row>
    <row r="40">
      <c r="A40" s="77" t="inlineStr">
        <is>
          <t>Utile netto SRL</t>
        </is>
      </c>
      <c r="B40" s="78">
        <f>B36+B37+B38</f>
        <v/>
      </c>
      <c r="C40" s="86">
        <f>IF($B$9=0,0,B39/$B$9)</f>
        <v/>
      </c>
      <c r="D40" s="87" t="inlineStr">
        <is>
          <t>Disponibile per dividendi / holding</t>
        </is>
      </c>
    </row>
    <row r="41"/>
    <row r="42" ht="15" customHeight="1" s="55"/>
    <row r="43" ht="15" customHeight="1" s="55">
      <c r="A43" s="89" t="inlineStr">
        <is>
          <t>── CASH FLOW OPERATIVO (stima) ──────────────────</t>
        </is>
      </c>
    </row>
    <row r="44" ht="15" customHeight="1" s="55">
      <c r="A44" s="54" t="inlineStr">
        <is>
          <t>Utile netto SRL</t>
        </is>
      </c>
      <c r="B44" s="88">
        <f>B39</f>
        <v/>
      </c>
      <c r="C44" s="84">
        <f>IF($B$9=0,0,B43/$B$9)</f>
        <v/>
      </c>
    </row>
    <row r="45" ht="15" customHeight="1" s="55">
      <c r="A45" s="54" t="inlineStr">
        <is>
          <t>+ Ammortamenti (non-cash)</t>
        </is>
      </c>
      <c r="B45" s="88">
        <f>-B35</f>
        <v/>
      </c>
      <c r="C45" s="84">
        <f>IF($B$9=0,0,B44/$B$9)</f>
        <v/>
      </c>
      <c r="D45" s="54" t="inlineStr">
        <is>
          <t>Reintegro cassa — costo non monetario</t>
        </is>
      </c>
    </row>
    <row r="46">
      <c r="A46" s="77" t="inlineStr">
        <is>
          <t>Cash flow ante capex</t>
        </is>
      </c>
      <c r="B46" s="78">
        <f>B43+B44</f>
        <v/>
      </c>
      <c r="C46" s="90">
        <f>IF($B$9=0,0,B45/$B$9)</f>
        <v/>
      </c>
    </row>
    <row r="47" ht="15" customHeight="1" s="55"/>
    <row r="48" ht="15" customHeight="1" s="55">
      <c r="A48" s="89" t="inlineStr">
        <is>
          <t>── CAPEX E IVA ──────────────────────────────────</t>
        </is>
      </c>
    </row>
    <row r="49" ht="15" customHeight="1" s="55">
      <c r="A49" s="54" t="inlineStr">
        <is>
          <t>Investimenti annui (capex netto)</t>
        </is>
      </c>
      <c r="B49" s="64" t="n">
        <v>-200000</v>
      </c>
      <c r="C49" s="84">
        <f>IF($B$9=0,0,B48/$B$9)</f>
        <v/>
      </c>
      <c r="D49" s="54" t="inlineStr">
        <is>
          <t>Attrezzature, migliorie, impianti</t>
        </is>
      </c>
    </row>
    <row r="50" ht="15" customHeight="1" s="55">
      <c r="A50" s="54" t="inlineStr">
        <is>
          <t>IVA su capex (credito vs erario)</t>
        </is>
      </c>
      <c r="B50" s="88">
        <f>-200000*0.22</f>
        <v/>
      </c>
      <c r="C50" s="84">
        <f>IF($B$9=0,0,B49/$B$9)</f>
        <v/>
      </c>
      <c r="D50" s="54" t="inlineStr">
        <is>
          <t>Recuperabile in compensazione — riduce IVA netta da versare</t>
        </is>
      </c>
    </row>
    <row r="51">
      <c r="A51" s="77" t="inlineStr">
        <is>
          <t>Capex cash netto (IVA recuperata)</t>
        </is>
      </c>
      <c r="B51" s="78">
        <f>B48</f>
        <v/>
      </c>
      <c r="C51" s="90">
        <f>IF($B$9=0,0,B50/$B$9)</f>
        <v/>
      </c>
      <c r="D51" s="54" t="inlineStr">
        <is>
          <t>L'IVA è un credito, non un costo definitivo</t>
        </is>
      </c>
    </row>
    <row r="52" ht="15" customHeight="1" s="55"/>
    <row r="53" ht="15" customHeight="1" s="55">
      <c r="A53" s="89" t="inlineStr">
        <is>
          <t>── CASH FLOW DISPONIBILE PER HOLDING ───────────</t>
        </is>
      </c>
    </row>
    <row r="54">
      <c r="A54" s="91" t="inlineStr">
        <is>
          <t>Free Cash Flow (post-capex)</t>
        </is>
      </c>
      <c r="B54" s="92">
        <f>B45+B50</f>
        <v/>
      </c>
      <c r="C54" s="93">
        <f>IF($B$9=0,0,B53/$B$9)</f>
        <v/>
      </c>
      <c r="D54" s="54" t="inlineStr">
        <is>
          <t>Cassa effettivamente disponibile per dividendi</t>
        </is>
      </c>
    </row>
    <row r="55"/>
    <row r="56"/>
    <row r="57"/>
    <row r="58"/>
    <row r="59" ht="15" customHeight="1" s="55"/>
    <row r="60">
      <c r="A60" s="94" t="inlineStr">
        <is>
          <t>Nota TFM</t>
        </is>
      </c>
      <c r="B60" s="54" t="inlineStr">
        <is>
          <t>Accantonamento 5 anni</t>
        </is>
      </c>
      <c r="C60" s="95" t="n">
        <v>30000</v>
      </c>
      <c r="D60" s="54" t="inlineStr">
        <is>
          <t>6.000 x 5 anni = 30k totali — tassazione separata a fine mandato (aliquota media ~25%)</t>
        </is>
      </c>
    </row>
  </sheetData>
  <mergeCells count="1"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4" min="1" max="1"/>
    <col width="16" customWidth="1" style="54" min="2" max="2"/>
    <col width="12" customWidth="1" style="54" min="3" max="3"/>
    <col width="24" customWidth="1" style="54" min="4" max="4"/>
    <col width="32" customWidth="1" style="54" min="6" max="6"/>
    <col width="16" customWidth="1" style="54" min="7" max="7"/>
    <col width="22" customWidth="1" style="54" min="8" max="8"/>
  </cols>
  <sheetData>
    <row r="1" ht="24" customHeight="1" s="55">
      <c r="A1" s="56" t="inlineStr">
        <is>
          <t>SSD - Conto economico e IVA non detraibile</t>
        </is>
      </c>
    </row>
    <row r="3" ht="15" customHeight="1" s="55">
      <c r="A3" s="57" t="inlineStr">
        <is>
          <t>Voce</t>
        </is>
      </c>
      <c r="B3" s="57" t="inlineStr">
        <is>
          <t>Importo netto</t>
        </is>
      </c>
      <c r="C3" s="57" t="inlineStr">
        <is>
          <t>% ricavi SSD</t>
        </is>
      </c>
      <c r="D3" s="57" t="inlineStr">
        <is>
          <t>Note</t>
        </is>
      </c>
      <c r="E3" s="54" t="n"/>
      <c r="F3" s="66" t="inlineStr">
        <is>
          <t>Cash IVA SSD</t>
        </is>
      </c>
      <c r="G3" s="66" t="inlineStr">
        <is>
          <t>Importo</t>
        </is>
      </c>
      <c r="H3" s="66" t="inlineStr">
        <is>
          <t>Note</t>
        </is>
      </c>
    </row>
    <row r="4" ht="15" customHeight="1" s="55">
      <c r="A4" s="67" t="inlineStr">
        <is>
          <t>Ricavi</t>
        </is>
      </c>
      <c r="B4" s="67" t="n"/>
      <c r="C4" s="67" t="n"/>
      <c r="D4" s="67" t="n"/>
      <c r="F4" s="54" t="inlineStr">
        <is>
          <t>IVA su canone spazi SRL</t>
        </is>
      </c>
      <c r="G4" s="61">
        <f>Assumptions!F7</f>
        <v/>
      </c>
    </row>
    <row r="5" ht="15" customHeight="1" s="55">
      <c r="A5" s="54" t="inlineStr">
        <is>
          <t>Ricavi esterni SSD</t>
        </is>
      </c>
      <c r="B5" s="61">
        <f>Assumptions!E6</f>
        <v/>
      </c>
      <c r="C5" s="59">
        <f>IF($B$5=0,0,B5/$B$5)</f>
        <v/>
      </c>
      <c r="D5" s="54" t="inlineStr">
        <is>
          <t>Scuola nuoto / attività sportiva</t>
        </is>
      </c>
      <c r="F5" s="54" t="inlineStr">
        <is>
          <t>IVA su servizi SRL</t>
        </is>
      </c>
      <c r="G5" s="61">
        <f>Assumptions!F8</f>
        <v/>
      </c>
    </row>
    <row r="6" ht="27.75" customHeight="1" s="55">
      <c r="B6" s="61" t="n"/>
      <c r="C6" s="59" t="n"/>
      <c r="F6" s="75" t="inlineStr">
        <is>
          <t>IVA non detraibile SSD</t>
        </is>
      </c>
      <c r="G6" s="96">
        <f>SUM(G4:G5)</f>
        <v/>
      </c>
      <c r="H6" s="75" t="inlineStr">
        <is>
          <t>Costo finanziario, non P&amp;L</t>
        </is>
      </c>
    </row>
    <row r="7" ht="15" customHeight="1" s="55">
      <c r="A7" s="72" t="inlineStr">
        <is>
          <t>Costi SSD</t>
        </is>
      </c>
      <c r="B7" s="73" t="n"/>
      <c r="C7" s="74" t="n"/>
      <c r="D7" s="72" t="n"/>
    </row>
    <row r="8" ht="15" customHeight="1" s="55">
      <c r="A8" s="54" t="inlineStr">
        <is>
          <t>Personale SSD</t>
        </is>
      </c>
      <c r="B8" s="61">
        <f>Assumptions!E22</f>
        <v/>
      </c>
      <c r="C8" s="59">
        <f>IF($B$5=0,0,B8/$B$5)</f>
        <v/>
      </c>
    </row>
    <row r="9" ht="15" customHeight="1" s="55">
      <c r="A9" s="54" t="inlineStr">
        <is>
          <t>Materiale sportivo SSD</t>
        </is>
      </c>
      <c r="B9" s="61">
        <f>Assumptions!E23</f>
        <v/>
      </c>
      <c r="C9" s="59">
        <f>IF($B$5=0,0,B9/$B$5)</f>
        <v/>
      </c>
    </row>
    <row r="10" ht="15" customHeight="1" s="55">
      <c r="A10" s="54" t="inlineStr">
        <is>
          <t>Affiliazioni e tesseramenti SSD</t>
        </is>
      </c>
      <c r="B10" s="61">
        <f>Assumptions!E24</f>
        <v/>
      </c>
      <c r="C10" s="59">
        <f>IF($B$5=0,0,B10/$B$5)</f>
        <v/>
      </c>
    </row>
    <row r="11" ht="15" customHeight="1" s="55">
      <c r="A11" s="54" t="inlineStr">
        <is>
          <t>Canone spazi verso SRL</t>
        </is>
      </c>
      <c r="B11" s="61">
        <f>Assumptions!E7</f>
        <v/>
      </c>
      <c r="C11" s="59">
        <f>IF($B$5=0,0,B11/$B$5)</f>
        <v/>
      </c>
      <c r="D11" s="54" t="inlineStr">
        <is>
          <t>Intercompany</t>
        </is>
      </c>
    </row>
    <row r="12" ht="15" customHeight="1" s="55">
      <c r="A12" s="54" t="inlineStr">
        <is>
          <t>Servizi verso SRL</t>
        </is>
      </c>
      <c r="B12" s="61">
        <f>Assumptions!E8</f>
        <v/>
      </c>
      <c r="C12" s="59">
        <f>IF($B$5=0,0,B12/$B$5)</f>
        <v/>
      </c>
      <c r="D12" s="54" t="inlineStr">
        <is>
          <t>Intercompany</t>
        </is>
      </c>
    </row>
    <row r="13" ht="15" customHeight="1" s="55">
      <c r="B13" s="61" t="n"/>
      <c r="C13" s="59">
        <f>IF($B$5=0,0,B13/$B$5)</f>
        <v/>
      </c>
    </row>
    <row r="14" ht="15" customHeight="1" s="55">
      <c r="A14" s="79" t="inlineStr">
        <is>
          <t>Totale costi SSD</t>
        </is>
      </c>
      <c r="B14" s="97">
        <f>SUM(B8:B12)</f>
        <v/>
      </c>
      <c r="C14" s="81">
        <f>IF($B$5=0,0,B14/$B$5)</f>
        <v/>
      </c>
      <c r="D14" s="79" t="n"/>
    </row>
    <row r="15" ht="15" customHeight="1" s="55">
      <c r="B15" s="61" t="n"/>
      <c r="C15" s="59">
        <f>IF($B$5=0,0,B15/$B$5)</f>
        <v/>
      </c>
    </row>
    <row r="16" ht="15" customHeight="1" s="55">
      <c r="A16" s="68" t="inlineStr">
        <is>
          <t>EBITDA SSD</t>
        </is>
      </c>
      <c r="B16" s="69">
        <f>B5-B14</f>
        <v/>
      </c>
      <c r="C16" s="70">
        <f>IF($B$5=0,0,B16/$B$5)</f>
        <v/>
      </c>
      <c r="D16" s="68" t="inlineStr">
        <is>
          <t>Obiettivo: break-even</t>
        </is>
      </c>
      <c r="E16" s="54" t="n"/>
    </row>
  </sheetData>
  <mergeCells count="1"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4" min="1" max="1"/>
    <col width="16" customWidth="1" style="54" min="2" max="2"/>
    <col width="14" customWidth="1" style="54" min="3" max="3"/>
    <col width="32" customWidth="1" style="54" min="4" max="4"/>
  </cols>
  <sheetData>
    <row r="1" ht="24" customHeight="1" s="55">
      <c r="A1" s="56" t="inlineStr">
        <is>
          <t>Immobiliare - ricavi intercompany</t>
        </is>
      </c>
    </row>
    <row r="3" ht="27.75" customHeight="1" s="55">
      <c r="A3" s="57" t="inlineStr">
        <is>
          <t>Voce</t>
        </is>
      </c>
      <c r="B3" s="57" t="inlineStr">
        <is>
          <t>Importo netto</t>
        </is>
      </c>
      <c r="C3" s="57" t="inlineStr">
        <is>
          <t>% ricavi immob.</t>
        </is>
      </c>
      <c r="D3" s="57" t="inlineStr">
        <is>
          <t>Note</t>
        </is>
      </c>
    </row>
    <row r="4" ht="15" customHeight="1" s="55">
      <c r="A4" s="54" t="inlineStr">
        <is>
          <t>Locazione a SRL</t>
        </is>
      </c>
      <c r="B4" s="61">
        <f>Assumptions!E9</f>
        <v/>
      </c>
      <c r="C4" s="59">
        <f>IF($B$6=0,0,B4/$B$6)</f>
        <v/>
      </c>
    </row>
    <row r="5" ht="15" customHeight="1" s="55">
      <c r="A5" s="54" t="inlineStr">
        <is>
          <t>Servizi impianti a SRL</t>
        </is>
      </c>
      <c r="B5" s="61">
        <f>Assumptions!E10</f>
        <v/>
      </c>
      <c r="C5" s="59">
        <f>IF($B$6=0,0,B5/$B$6)</f>
        <v/>
      </c>
    </row>
    <row r="6" ht="15" customHeight="1" s="55">
      <c r="A6" s="68" t="inlineStr">
        <is>
          <t>Totale ricavi Immobiliare</t>
        </is>
      </c>
      <c r="B6" s="69">
        <f>SUM(B4:B5)</f>
        <v/>
      </c>
      <c r="C6" s="70">
        <f>IF($B$6=0,0,B6/$B$6)</f>
        <v/>
      </c>
      <c r="D6" s="68" t="n"/>
    </row>
    <row r="7" ht="15" customHeight="1" s="55">
      <c r="B7" s="61" t="n"/>
      <c r="C7" s="59" t="n"/>
    </row>
    <row r="8" ht="15" customHeight="1" s="55">
      <c r="A8" s="54" t="inlineStr">
        <is>
          <t>Costi operativi Immobiliare</t>
        </is>
      </c>
      <c r="B8" s="64" t="n">
        <v>-80000</v>
      </c>
      <c r="C8" s="82">
        <f>IF($B$6=0,0,B8/$B$6)</f>
        <v/>
      </c>
      <c r="D8" s="54" t="inlineStr">
        <is>
          <t>IMU, manutenzioni, assicurazioni, spese</t>
        </is>
      </c>
    </row>
    <row r="9" ht="15" customHeight="1" s="55">
      <c r="B9" s="61" t="n"/>
      <c r="C9" s="59" t="n"/>
    </row>
    <row r="10" ht="15" customHeight="1" s="55">
      <c r="A10" s="54" t="inlineStr">
        <is>
          <t>Ammortamenti Immobiliare</t>
        </is>
      </c>
      <c r="B10" s="64" t="n">
        <v>-100000</v>
      </c>
      <c r="C10" s="82">
        <f>IF($B$6=0,0,B10/$B$6)</f>
        <v/>
      </c>
      <c r="D10" s="54" t="inlineStr">
        <is>
          <t>Fabbricato, impianti fissi</t>
        </is>
      </c>
    </row>
    <row r="11" ht="15" customHeight="1" s="55">
      <c r="A11" s="68" t="inlineStr">
        <is>
          <t>EBITDA Immobiliare</t>
        </is>
      </c>
      <c r="B11" s="98">
        <f>B6+B8</f>
        <v/>
      </c>
      <c r="C11" s="99">
        <f>IF($B$6=0,0,B11/$B$6)</f>
        <v/>
      </c>
      <c r="D11" s="68" t="inlineStr">
        <is>
          <t>Prima di ammortamenti</t>
        </is>
      </c>
    </row>
    <row r="12" ht="15" customHeight="1" s="55">
      <c r="A12" s="100" t="inlineStr">
        <is>
          <t>EBIT Immobiliare</t>
        </is>
      </c>
      <c r="B12" s="101">
        <f>B11+B10</f>
        <v/>
      </c>
      <c r="C12" s="86">
        <f>IF($B$6=0,0,B12/$B$6)</f>
        <v/>
      </c>
      <c r="D12" s="87" t="inlineStr">
        <is>
          <t>Prima di interessi e imposte</t>
        </is>
      </c>
    </row>
    <row r="13" ht="15" customHeight="1" s="55">
      <c r="A13" s="54" t="inlineStr">
        <is>
          <t>IRES (24%)</t>
        </is>
      </c>
      <c r="B13" s="88">
        <f>IF(B12&gt;0,-B12*0.24,0)</f>
        <v/>
      </c>
    </row>
    <row r="14" ht="15" customHeight="1" s="55">
      <c r="A14" s="100" t="inlineStr">
        <is>
          <t>Utile netto Immobiliare</t>
        </is>
      </c>
      <c r="B14" s="78">
        <f>B12+B13</f>
        <v/>
      </c>
      <c r="C14" s="102" t="n"/>
      <c r="D14" s="102" t="n"/>
    </row>
  </sheetData>
  <mergeCells count="1"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4" min="1" max="1"/>
    <col width="16" customWidth="1" style="54" min="2" max="4"/>
    <col width="18" customWidth="1" style="54" min="5" max="5"/>
    <col width="24" customWidth="1" style="54" min="7" max="7"/>
    <col width="12" customWidth="1" style="54" min="8" max="9"/>
    <col width="14" customWidth="1" style="54" min="10" max="10"/>
  </cols>
  <sheetData>
    <row r="1" ht="24" customHeight="1" s="55">
      <c r="A1" s="56" t="inlineStr">
        <is>
          <t>Summary - KPI e incidenze</t>
        </is>
      </c>
    </row>
    <row r="3" ht="15" customHeight="1" s="55">
      <c r="A3" s="57" t="inlineStr">
        <is>
          <t>KPI</t>
        </is>
      </c>
      <c r="B3" s="57" t="inlineStr">
        <is>
          <t>SRL</t>
        </is>
      </c>
      <c r="C3" s="57" t="inlineStr">
        <is>
          <t>SSD</t>
        </is>
      </c>
      <c r="D3" s="57" t="inlineStr">
        <is>
          <t>Immobiliare</t>
        </is>
      </c>
      <c r="E3" s="57" t="inlineStr">
        <is>
          <t>Consolidato*</t>
        </is>
      </c>
      <c r="F3" s="54" t="n"/>
      <c r="G3" s="57" t="inlineStr">
        <is>
          <t>Incidenze su base ricavi</t>
        </is>
      </c>
      <c r="H3" s="57" t="inlineStr">
        <is>
          <t>SRL</t>
        </is>
      </c>
      <c r="I3" s="57" t="inlineStr">
        <is>
          <t>SSD</t>
        </is>
      </c>
      <c r="J3" s="57" t="inlineStr">
        <is>
          <t>Consolidato</t>
        </is>
      </c>
    </row>
    <row r="4" ht="15" customHeight="1" s="55">
      <c r="A4" s="54" t="inlineStr">
        <is>
          <t>Ricavi</t>
        </is>
      </c>
      <c r="B4" s="103">
        <f>'SRL P&amp;L'!B9</f>
        <v/>
      </c>
      <c r="C4" s="103">
        <f>'SSD P&amp;L'!B5</f>
        <v/>
      </c>
      <c r="D4" s="103">
        <f>Immobiliare!B6</f>
        <v/>
      </c>
      <c r="E4" s="103">
        <f>Assumptions!E5+Assumptions!E6</f>
        <v/>
      </c>
      <c r="G4" s="54" t="inlineStr">
        <is>
          <t>Personale %</t>
        </is>
      </c>
      <c r="H4" s="104">
        <f>IFERROR(Assumptions!E11/'SRL P&amp;L'!B9,"-")</f>
        <v/>
      </c>
      <c r="I4" s="104">
        <f>Assumptions!E22/'SSD P&amp;L'!B5</f>
        <v/>
      </c>
      <c r="J4" s="104">
        <f>(Assumptions!E11+Assumptions!E22)/(Assumptions!E5+Assumptions!E6)</f>
        <v/>
      </c>
    </row>
    <row r="5" ht="15" customHeight="1" s="55">
      <c r="A5" s="54" t="inlineStr">
        <is>
          <t>Costi operativi</t>
        </is>
      </c>
      <c r="B5" s="103">
        <f>'SRL P&amp;L'!B25</f>
        <v/>
      </c>
      <c r="C5" s="103">
        <f>'SSD P&amp;L'!B14</f>
        <v/>
      </c>
      <c r="D5" s="103">
        <f>Immobiliare!B8</f>
        <v/>
      </c>
      <c r="E5" s="103">
        <f>SUM(Assumptions!E11:E24)</f>
        <v/>
      </c>
      <c r="G5" s="54" t="inlineStr">
        <is>
          <t>Energia %</t>
        </is>
      </c>
      <c r="H5" s="104">
        <f>IFERROR(Assumptions!E12/'SRL P&amp;L'!B9,"-")</f>
        <v/>
      </c>
      <c r="I5" s="104" t="n"/>
      <c r="J5" s="104">
        <f>Assumptions!E12/(Assumptions!E5+Assumptions!E6)</f>
        <v/>
      </c>
    </row>
    <row r="6" ht="15" customHeight="1" s="55">
      <c r="A6" s="54" t="inlineStr">
        <is>
          <t>EBITDA</t>
        </is>
      </c>
      <c r="B6" s="105">
        <f>'SRL P&amp;L'!B34</f>
        <v/>
      </c>
      <c r="C6" s="103">
        <f>'SSD P&amp;L'!B16</f>
        <v/>
      </c>
      <c r="D6" s="103">
        <f>Immobiliare!B11</f>
        <v/>
      </c>
      <c r="E6" s="103">
        <f>E4-E5</f>
        <v/>
      </c>
      <c r="G6" s="54" t="inlineStr">
        <is>
          <t>Acqua %</t>
        </is>
      </c>
      <c r="H6" s="104">
        <f>IFERROR(Assumptions!E13/'SRL P&amp;L'!B9,"-")</f>
        <v/>
      </c>
      <c r="I6" s="104" t="n"/>
      <c r="J6" s="104">
        <f>Assumptions!E13/(Assumptions!E5+Assumptions!E6)</f>
        <v/>
      </c>
    </row>
    <row r="7" ht="15" customHeight="1" s="55">
      <c r="A7" s="54" t="inlineStr">
        <is>
          <t>EBITDA %</t>
        </is>
      </c>
      <c r="B7" s="104">
        <f>IF(B4=0,0,B6/B4)</f>
        <v/>
      </c>
      <c r="C7" s="104">
        <f>IF(C4=0,0,C6/C4)</f>
        <v/>
      </c>
      <c r="D7" s="104">
        <f>IF(D4=0,0,D6/D4)</f>
        <v/>
      </c>
      <c r="E7" s="104">
        <f>IF(E4=0,0,E6/E4)</f>
        <v/>
      </c>
      <c r="G7" s="54" t="inlineStr">
        <is>
          <t>Pulizie %</t>
        </is>
      </c>
      <c r="H7" s="104">
        <f>IFERROR(Assumptions!E14/'SRL P&amp;L'!B9,"-")</f>
        <v/>
      </c>
      <c r="I7" s="104" t="n"/>
      <c r="J7" s="104">
        <f>Assumptions!E14/(Assumptions!E5+Assumptions!E6)</f>
        <v/>
      </c>
    </row>
    <row r="8" ht="15" customHeight="1" s="55">
      <c r="A8" s="54" t="inlineStr">
        <is>
          <t>IVA netta SRL</t>
        </is>
      </c>
      <c r="B8" s="103">
        <f>'SRL P&amp;L'!G11</f>
        <v/>
      </c>
      <c r="C8" s="103" t="n"/>
      <c r="D8" s="103" t="n"/>
      <c r="E8" s="103" t="n"/>
      <c r="G8" s="54" t="inlineStr">
        <is>
          <t>Marketing %</t>
        </is>
      </c>
      <c r="H8" s="104">
        <f>IFERROR(Assumptions!E18/'SRL P&amp;L'!B9,"-")</f>
        <v/>
      </c>
      <c r="I8" s="104" t="n"/>
      <c r="J8" s="104">
        <f>Assumptions!E18/(Assumptions!E5+Assumptions!E6)</f>
        <v/>
      </c>
    </row>
    <row r="9" ht="15" customHeight="1" s="55">
      <c r="A9" s="54" t="inlineStr">
        <is>
          <t>IVA non detraibile SSD</t>
        </is>
      </c>
      <c r="B9" s="103" t="n"/>
      <c r="C9" s="103">
        <f>'SSD P&amp;L'!G6</f>
        <v/>
      </c>
      <c r="D9" s="103" t="n"/>
      <c r="E9" s="103" t="n"/>
      <c r="G9" s="54" t="inlineStr">
        <is>
          <t>Software %</t>
        </is>
      </c>
      <c r="H9" s="104">
        <f>IFERROR(Assumptions!E19/'SRL P&amp;L'!B9,"-")</f>
        <v/>
      </c>
      <c r="I9" s="104" t="n"/>
      <c r="J9" s="104">
        <f>Assumptions!E19/(Assumptions!E5+Assumptions!E6)</f>
        <v/>
      </c>
    </row>
    <row r="10" ht="15" customHeight="1" s="55">
      <c r="A10" s="54" t="inlineStr">
        <is>
          <t>Cash IVA totale non recuperabile</t>
        </is>
      </c>
      <c r="B10" s="103" t="n"/>
      <c r="C10" s="103" t="n"/>
      <c r="D10" s="103" t="n"/>
      <c r="E10" s="103">
        <f>B8+C9</f>
        <v/>
      </c>
      <c r="G10" s="54" t="inlineStr">
        <is>
          <t>Manutenzione %</t>
        </is>
      </c>
      <c r="H10" s="104">
        <f>IFERROR(Assumptions!E20/'SRL P&amp;L'!B9,"-")</f>
        <v/>
      </c>
      <c r="I10" s="104" t="n"/>
      <c r="J10" s="104">
        <f>Assumptions!E20/(Assumptions!E5+Assumptions!E6)</f>
        <v/>
      </c>
    </row>
    <row r="11" ht="15" customHeight="1" s="55">
      <c r="A11" s="83" t="inlineStr">
        <is>
          <t>Ammortamenti</t>
        </is>
      </c>
      <c r="B11" s="95">
        <f>'SRL P&amp;L'!B35</f>
        <v/>
      </c>
      <c r="D11" s="95">
        <f>Immobiliare!B10</f>
        <v/>
      </c>
    </row>
    <row r="12" ht="15" customHeight="1" s="55">
      <c r="A12" s="100" t="inlineStr">
        <is>
          <t>EBIT</t>
        </is>
      </c>
      <c r="B12" s="106">
        <f>'SRL P&amp;L'!B36</f>
        <v/>
      </c>
      <c r="D12" s="106">
        <f>Immobiliare!B12</f>
        <v/>
      </c>
      <c r="E12" s="106">
        <f>B12+D12</f>
        <v/>
      </c>
    </row>
    <row r="13" ht="15" customHeight="1" s="55">
      <c r="A13" s="54" t="inlineStr">
        <is>
          <t>IRES (24%)</t>
        </is>
      </c>
      <c r="B13" s="95">
        <f>'SRL P&amp;L'!B37</f>
        <v/>
      </c>
      <c r="D13" s="95">
        <f>Immobiliare!B13</f>
        <v/>
      </c>
      <c r="E13" s="95">
        <f>B13+D13</f>
        <v/>
      </c>
    </row>
    <row r="14" ht="15" customHeight="1" s="55">
      <c r="A14" s="54" t="inlineStr">
        <is>
          <t>IRAP (3.9%) SRL</t>
        </is>
      </c>
      <c r="B14" s="95">
        <f>'SRL P&amp;L'!B38</f>
        <v/>
      </c>
    </row>
    <row r="15" ht="15" customHeight="1" s="55">
      <c r="A15" s="100" t="inlineStr">
        <is>
          <t>Utile netto</t>
        </is>
      </c>
      <c r="B15" s="106">
        <f>'SRL P&amp;L'!B39</f>
        <v/>
      </c>
      <c r="D15" s="106">
        <f>Immobiliare!B14</f>
        <v/>
      </c>
      <c r="E15" s="106">
        <f>B15+D15</f>
        <v/>
      </c>
    </row>
    <row r="16" ht="15" customHeight="1" s="55">
      <c r="A16" s="94" t="inlineStr">
        <is>
          <t>Utile netto %</t>
        </is>
      </c>
      <c r="B16" s="107">
        <f>IF(B4=0,0,B15/B4)</f>
        <v/>
      </c>
      <c r="C16" s="94" t="n"/>
      <c r="D16" s="107">
        <f>IF(D4=0,0,D15/D4)</f>
        <v/>
      </c>
      <c r="E16" s="107">
        <f>IF(E4=0,0,E15/E4)</f>
        <v/>
      </c>
    </row>
    <row r="17" ht="15" customHeight="1" s="55">
      <c r="A17" s="83" t="inlineStr">
        <is>
          <t>* Consolidato: ricavi esterni 2,4 mln. Partite infragruppo eliminate. Costi immobiliare ora inclusi (operativi + ammortamenti 180k).</t>
        </is>
      </c>
      <c r="G17" s="54" t="inlineStr">
        <is>
          <t>Canone immob %</t>
        </is>
      </c>
      <c r="H17" s="104">
        <f>IFERROR((Assumptions!E9+Assumptions!E10)/'SRL P&amp;L'!B9,"-")</f>
        <v/>
      </c>
      <c r="I17" s="104" t="n"/>
      <c r="J17" s="104">
        <f>(Assumptions!E9+Assumptions!E10)/(Assumptions!E5+Assumptions!E6)</f>
        <v/>
      </c>
    </row>
    <row r="18" ht="95.25" customHeight="1" s="55">
      <c r="A18" s="108" t="n"/>
      <c r="F18" s="54" t="n"/>
      <c r="G18" s="54" t="inlineStr">
        <is>
          <t>Servizi+spazi SSD %</t>
        </is>
      </c>
      <c r="H18" s="104">
        <f>IFERROR((Assumptions!E7+Assumptions!E8)/'SRL P&amp;L'!B9,"-")</f>
        <v/>
      </c>
      <c r="I18" s="104">
        <f>(Assumptions!E7+Assumptions!E8)/'SSD P&amp;L'!B5</f>
        <v/>
      </c>
      <c r="J18" s="104" t="n"/>
    </row>
  </sheetData>
  <mergeCells count="1"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2026-04-18T20:09:47Z</dcterms:created>
  <dcterms:modified xmlns:dcterms="http://purl.org/dc/terms/" xmlns:xsi="http://www.w3.org/2001/XMLSchema-instance" xsi:type="dcterms:W3CDTF">2026-04-21T08:15:50Z</dcterms:modified>
  <cp:revision>12</cp:revision>
</cp:coreProperties>
</file>