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RL P&amp;L" sheetId="2" state="visible" r:id="rId4"/>
    <sheet name="SSD P&amp;L" sheetId="3" state="visible" r:id="rId5"/>
    <sheet name="Immobiliare" sheetId="4" state="visible" r:id="rId6"/>
    <sheet name="Summa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<sst xmlns="http://schemas.openxmlformats.org/spreadsheetml/2006/main" count="271" uniqueCount="162">
  <si>
    <t xml:space="preserve">Assunzioni modello SRL / SSD / Immobiliare</t>
  </si>
  <si>
    <t xml:space="preserve">Categoria</t>
  </si>
  <si>
    <t xml:space="preserve">Voce</t>
  </si>
  <si>
    <t xml:space="preserve">Base input</t>
  </si>
  <si>
    <t xml:space="preserve">Valore input</t>
  </si>
  <si>
    <t xml:space="preserve">Valore netto</t>
  </si>
  <si>
    <t xml:space="preserve">IVA</t>
  </si>
  <si>
    <t xml:space="preserve">Cash lordo</t>
  </si>
  <si>
    <t xml:space="preserve">Fonte</t>
  </si>
  <si>
    <t xml:space="preserve">Core</t>
  </si>
  <si>
    <t xml:space="preserve">Aliquota IVA</t>
  </si>
  <si>
    <t xml:space="preserve">Percentuale</t>
  </si>
  <si>
    <t xml:space="preserve">Assunzione base</t>
  </si>
  <si>
    <t xml:space="preserve">Ricavi</t>
  </si>
  <si>
    <t xml:space="preserve">Ricavi diretti SRL</t>
  </si>
  <si>
    <t xml:space="preserve">Net + VAT</t>
  </si>
  <si>
    <t xml:space="preserve">Utente</t>
  </si>
  <si>
    <t xml:space="preserve">Ricavi esterni SSD</t>
  </si>
  <si>
    <t xml:space="preserve">No VAT</t>
  </si>
  <si>
    <t xml:space="preserve">Intercompany</t>
  </si>
  <si>
    <t xml:space="preserve">Canone spazi SSD -&gt; SRL</t>
  </si>
  <si>
    <t xml:space="preserve">Assunzione condivisa</t>
  </si>
  <si>
    <t xml:space="preserve">Servizi SRL -&gt; SSD</t>
  </si>
  <si>
    <t xml:space="preserve">Locazione SRL -&gt; Immobiliare</t>
  </si>
  <si>
    <t xml:space="preserve">Servizi impianti SRL -&gt; Immobiliare</t>
  </si>
  <si>
    <t xml:space="preserve">Costi SRL</t>
  </si>
  <si>
    <t xml:space="preserve">Personale SRL</t>
  </si>
  <si>
    <t xml:space="preserve">Energia SRL</t>
  </si>
  <si>
    <t xml:space="preserve">Gross incl. VAT</t>
  </si>
  <si>
    <t xml:space="preserve">Acqua SRL</t>
  </si>
  <si>
    <t xml:space="preserve">Pulizie SRL</t>
  </si>
  <si>
    <t xml:space="preserve">Commercialista SRL</t>
  </si>
  <si>
    <t xml:space="preserve">Legale SRL</t>
  </si>
  <si>
    <t xml:space="preserve">Commissioni pagamenti SRL</t>
  </si>
  <si>
    <t xml:space="preserve">Marketing SRL</t>
  </si>
  <si>
    <t xml:space="preserve">Software vari SRL</t>
  </si>
  <si>
    <t xml:space="preserve">Manutenzione SRL</t>
  </si>
  <si>
    <t xml:space="preserve">Acquisti vari SRL</t>
  </si>
  <si>
    <t xml:space="preserve">Costi SSD</t>
  </si>
  <si>
    <t xml:space="preserve">Personale SSD</t>
  </si>
  <si>
    <t xml:space="preserve">Materiale sportivo SSD</t>
  </si>
  <si>
    <t xml:space="preserve">Affiliazioni e tesseramenti SSD</t>
  </si>
  <si>
    <t xml:space="preserve">Compenso Amm.</t>
  </si>
  <si>
    <t xml:space="preserve">Compenso amministratore SRL</t>
  </si>
  <si>
    <t xml:space="preserve">Ammortamenti</t>
  </si>
  <si>
    <t xml:space="preserve">Ammortamenti SRL</t>
  </si>
  <si>
    <t xml:space="preserve">Costi Immob.</t>
  </si>
  <si>
    <t xml:space="preserve">Costi operativi Immobiliare</t>
  </si>
  <si>
    <t xml:space="preserve">Ammortamenti Immobiliare</t>
  </si>
  <si>
    <t xml:space="preserve">TFM</t>
  </si>
  <si>
    <t xml:space="preserve">TFM amministratore SRL (annuo)</t>
  </si>
  <si>
    <t xml:space="preserve">Difendibile - complessità gruppo multi-entità</t>
  </si>
  <si>
    <t xml:space="preserve">Capex SRL</t>
  </si>
  <si>
    <t xml:space="preserve">Investimenti annui SRL (capex)</t>
  </si>
  <si>
    <t xml:space="preserve">Utente — coerente con ammortamenti</t>
  </si>
  <si>
    <t xml:space="preserve">SRL - Conto economico e bridge IVA</t>
  </si>
  <si>
    <t xml:space="preserve">Importo netto</t>
  </si>
  <si>
    <t xml:space="preserve">% ricavi SRL</t>
  </si>
  <si>
    <t xml:space="preserve">Note</t>
  </si>
  <si>
    <t xml:space="preserve">Bridge IVA SRL</t>
  </si>
  <si>
    <t xml:space="preserve">Importo</t>
  </si>
  <si>
    <t xml:space="preserve">IVA a debito su ricavi diretti SRL</t>
  </si>
  <si>
    <t xml:space="preserve">Ricavi commerciali diretti</t>
  </si>
  <si>
    <t xml:space="preserve">IVA a debito su canone spazi SSD</t>
  </si>
  <si>
    <t xml:space="preserve">Canone spazi da SSD</t>
  </si>
  <si>
    <t xml:space="preserve">IVA a debito su servizi a SSD</t>
  </si>
  <si>
    <t xml:space="preserve">Servizi a SSD</t>
  </si>
  <si>
    <t xml:space="preserve">Totale IVA a debito</t>
  </si>
  <si>
    <t xml:space="preserve">IVA a credito costi SRL</t>
  </si>
  <si>
    <t xml:space="preserve">Totale ricavi SRL</t>
  </si>
  <si>
    <t xml:space="preserve">IVA a credito su Capex (200k x 22%)</t>
  </si>
  <si>
    <t xml:space="preserve">IVA a credito locazione + impianti</t>
  </si>
  <si>
    <t xml:space="preserve">Totale IVA a credito</t>
  </si>
  <si>
    <t xml:space="preserve">Costi operativi</t>
  </si>
  <si>
    <t xml:space="preserve">IVA netta da versare SRL</t>
  </si>
  <si>
    <t xml:space="preserve">→ IVA capex già inclusa nel credito sopra</t>
  </si>
  <si>
    <t xml:space="preserve">IVA netta da versare (finale)</t>
  </si>
  <si>
    <t xml:space="preserve">Locazione da Immobiliare</t>
  </si>
  <si>
    <t xml:space="preserve">Servizi impianti da Immobiliare</t>
  </si>
  <si>
    <t xml:space="preserve">Totale costi SRL</t>
  </si>
  <si>
    <t xml:space="preserve">Compenso amministratore</t>
  </si>
  <si>
    <t xml:space="preserve">Costo deducibile SRL</t>
  </si>
  <si>
    <t xml:space="preserve">TFM amministratore</t>
  </si>
  <si>
    <t xml:space="preserve">Accantonamento annuo — tassazione separata a fine mandato</t>
  </si>
  <si>
    <t xml:space="preserve">EBITDA SRL</t>
  </si>
  <si>
    <t xml:space="preserve">Prima di ammortamenti, interessi e imposte</t>
  </si>
  <si>
    <t xml:space="preserve">Impianti, attrezzature, migliorie</t>
  </si>
  <si>
    <t xml:space="preserve">EBIT SRL</t>
  </si>
  <si>
    <t xml:space="preserve">Prima di interessi e imposte</t>
  </si>
  <si>
    <t xml:space="preserve">IRES (24%)</t>
  </si>
  <si>
    <t xml:space="preserve">Aliquota ordinaria</t>
  </si>
  <si>
    <t xml:space="preserve">IRAP (3.9%)</t>
  </si>
  <si>
    <t xml:space="preserve">Approssimazione — base IRAP ≠ EBIT</t>
  </si>
  <si>
    <t xml:space="preserve">Utile netto SRL</t>
  </si>
  <si>
    <t xml:space="preserve">Disponibile per dividendi / holding</t>
  </si>
  <si>
    <t xml:space="preserve">── CASH FLOW OPERATIVO (stima) ──────────────────</t>
  </si>
  <si>
    <t xml:space="preserve">+ Ammortamenti (non-cash)</t>
  </si>
  <si>
    <t xml:space="preserve">Reintegro cassa — costo non monetario</t>
  </si>
  <si>
    <t xml:space="preserve">Cash flow ante capex</t>
  </si>
  <si>
    <t xml:space="preserve">── CAPEX E IVA ──────────────────────────────────</t>
  </si>
  <si>
    <t xml:space="preserve">Investimenti annui (capex netto)</t>
  </si>
  <si>
    <t xml:space="preserve">Attrezzature, migliorie, impianti</t>
  </si>
  <si>
    <t xml:space="preserve">IVA su capex (credito vs erario)</t>
  </si>
  <si>
    <t xml:space="preserve">Recuperabile in compensazione — riduce IVA netta da versare</t>
  </si>
  <si>
    <t xml:space="preserve">Capex cash netto (IVA recuperata)</t>
  </si>
  <si>
    <t xml:space="preserve">L'IVA è un credito, non un costo definitivo</t>
  </si>
  <si>
    <t xml:space="preserve">── CASH FLOW DISPONIBILE PER HOLDING ───────────</t>
  </si>
  <si>
    <t xml:space="preserve">Free Cash Flow (post-capex)</t>
  </si>
  <si>
    <t xml:space="preserve">Cassa effettivamente disponibile per dividendi</t>
  </si>
  <si>
    <t xml:space="preserve">Nota TFM</t>
  </si>
  <si>
    <t xml:space="preserve">Accantonamento 5 anni</t>
  </si>
  <si>
    <t xml:space="preserve">6.000 x 5 anni = 30k totali — tassazione separata a fine mandato (aliquota media ~25%)</t>
  </si>
  <si>
    <t xml:space="preserve">SSD - Conto economico e IVA non detraibile</t>
  </si>
  <si>
    <t xml:space="preserve">% ricavi SSD</t>
  </si>
  <si>
    <t xml:space="preserve">Cash IVA SSD</t>
  </si>
  <si>
    <t xml:space="preserve">IVA su canone spazi SRL</t>
  </si>
  <si>
    <t xml:space="preserve">Scuola nuoto / attività sportiva</t>
  </si>
  <si>
    <t xml:space="preserve">IVA su servizi SRL</t>
  </si>
  <si>
    <t xml:space="preserve">IVA non detraibile SSD</t>
  </si>
  <si>
    <t xml:space="preserve">Costo finanziario, non P&amp;L</t>
  </si>
  <si>
    <t xml:space="preserve">Canone spazi verso SRL</t>
  </si>
  <si>
    <t xml:space="preserve">Servizi verso SRL</t>
  </si>
  <si>
    <t xml:space="preserve">Totale costi SSD</t>
  </si>
  <si>
    <t xml:space="preserve">EBITDA SSD</t>
  </si>
  <si>
    <t xml:space="preserve">Obiettivo: break-even</t>
  </si>
  <si>
    <t xml:space="preserve">Immobiliare - ricavi intercompany</t>
  </si>
  <si>
    <t xml:space="preserve">% ricavi immob.</t>
  </si>
  <si>
    <t xml:space="preserve">Locazione a SRL</t>
  </si>
  <si>
    <t xml:space="preserve">Servizi impianti a SRL</t>
  </si>
  <si>
    <t xml:space="preserve">Totale ricavi Immobiliare</t>
  </si>
  <si>
    <t xml:space="preserve">IMU, manutenzioni, assicurazioni, spese</t>
  </si>
  <si>
    <t xml:space="preserve">Fabbricato, impianti fissi</t>
  </si>
  <si>
    <t xml:space="preserve">EBITDA Immobiliare</t>
  </si>
  <si>
    <t xml:space="preserve">Prima di ammortamenti</t>
  </si>
  <si>
    <t xml:space="preserve">EBIT Immobiliare</t>
  </si>
  <si>
    <t xml:space="preserve">Utile netto Immobiliare</t>
  </si>
  <si>
    <t xml:space="preserve">Summary - KPI e incidenze</t>
  </si>
  <si>
    <t xml:space="preserve">KPI</t>
  </si>
  <si>
    <t xml:space="preserve">SRL</t>
  </si>
  <si>
    <t xml:space="preserve">SSD</t>
  </si>
  <si>
    <t xml:space="preserve">Immobiliare</t>
  </si>
  <si>
    <t xml:space="preserve">Consolidato*</t>
  </si>
  <si>
    <t xml:space="preserve">Incidenze su base ricavi</t>
  </si>
  <si>
    <t xml:space="preserve">Consolidato</t>
  </si>
  <si>
    <t xml:space="preserve">Personale %</t>
  </si>
  <si>
    <t xml:space="preserve">Energia %</t>
  </si>
  <si>
    <t xml:space="preserve">EBITDA</t>
  </si>
  <si>
    <t xml:space="preserve">Acqua %</t>
  </si>
  <si>
    <t xml:space="preserve">EBITDA %</t>
  </si>
  <si>
    <t xml:space="preserve">Pulizie %</t>
  </si>
  <si>
    <t xml:space="preserve">IVA netta SRL</t>
  </si>
  <si>
    <t xml:space="preserve">Marketing %</t>
  </si>
  <si>
    <t xml:space="preserve">Software %</t>
  </si>
  <si>
    <t xml:space="preserve">Cash IVA totale non recuperabile</t>
  </si>
  <si>
    <t xml:space="preserve">Manutenzione %</t>
  </si>
  <si>
    <t xml:space="preserve">EBIT</t>
  </si>
  <si>
    <t xml:space="preserve">IRAP (3.9%) SRL</t>
  </si>
  <si>
    <t xml:space="preserve">Utile netto</t>
  </si>
  <si>
    <t xml:space="preserve">Utile netto %</t>
  </si>
  <si>
    <t xml:space="preserve">* Consolidato: ricavi esterni 2,4 mln. Partite infragruppo eliminate. Costi immobiliare ora inclusi (operativi + ammortamenti 180k).</t>
  </si>
  <si>
    <t xml:space="preserve">Canone immob %</t>
  </si>
  <si>
    <t xml:space="preserve">Servizi+spazi SSD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</si>
</sst>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&quot;€ &quot;#,##0;[RED]&quot;(€ &quot;#,##0\);\-"/>
    <numFmt numFmtId="167" formatCode="&quot;€ &quot;#,##0;&quot;(€ &quot;#,##0\);\-"/>
    <numFmt numFmtId="168" formatCode="0.0%;\(0.0%\);\-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CCCCCC"/>
      </patternFill>
    </fill>
    <fill>
      <patternFill patternType="solid">
        <fgColor rgb="FFF4CCCC"/>
        <bgColor rgb="FFD9D9D9"/>
      </patternFill>
    </fill>
    <fill>
      <patternFill patternType="solid">
        <fgColor rgb="FFE2EFDA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E2EFDA"/>
      <rgbColor rgb="FFE2F0D9"/>
      <rgbColor rgb="FFFCE4D6"/>
      <rgbColor rgb="FFD9D9D9"/>
      <rgbColor rgb="FFFF99CC"/>
      <rgbColor rgb="FFD9EAD3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Ricavi / Costi / EBITDA per entità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Summary!$A$4:$A$6</c:f>
              <c:strCache>
                <c:ptCount val="3"/>
                <c:pt idx="0">
                  <c:v>Ricavi</c:v>
                </c:pt>
                <c:pt idx="1">
                  <c:v>Costi operativi</c:v>
                </c:pt>
                <c:pt idx="2">
                  <c:v>EBITDA</c:v>
                </c:pt>
              </c:strCache>
            </c:strRef>
          </c:cat>
          <c:val>
            <c:numRef>
              <c:f>Summary!$B$4:$B$6</c:f>
              <c:numCache>
                <c:formatCode>"€ "#,##0;[RED]"(€ "#,##0\);\-</c:formatCode>
                <c:ptCount val="3"/>
                <c:pt idx="0">
                  <c:v>2130000</c:v>
                </c:pt>
                <c:pt idx="1">
                  <c:v>40000</c:v>
                </c:pt>
                <c:pt idx="2">
                  <c:v>860688.524590164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Summary!$A$4:$A$6</c:f>
              <c:strCache>
                <c:ptCount val="3"/>
                <c:pt idx="0">
                  <c:v>Ricavi</c:v>
                </c:pt>
                <c:pt idx="1">
                  <c:v>Costi operativi</c:v>
                </c:pt>
                <c:pt idx="2">
                  <c:v>EBITDA</c:v>
                </c:pt>
              </c:strCache>
            </c:strRef>
          </c:cat>
          <c:val>
            <c:numRef>
              <c:f>Summary!$C$4:$C$6</c:f>
              <c:numCache>
                <c:formatCode>"€ "#,##0;[RED]"(€ "#,##0\);\-</c:formatCode>
                <c:ptCount val="3"/>
                <c:pt idx="0">
                  <c:v>700000</c:v>
                </c:pt>
                <c:pt idx="1">
                  <c:v>700000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Summary!$A$4:$A$6</c:f>
              <c:strCache>
                <c:ptCount val="3"/>
                <c:pt idx="0">
                  <c:v>Ricavi</c:v>
                </c:pt>
                <c:pt idx="1">
                  <c:v>Costi operativi</c:v>
                </c:pt>
                <c:pt idx="2">
                  <c:v>EBITDA</c:v>
                </c:pt>
              </c:strCache>
            </c:strRef>
          </c:cat>
          <c:val>
            <c:numRef>
              <c:f>Summary!$D$4:$D$6</c:f>
              <c:numCache>
                <c:formatCode>"€ "#,##0;[RED]"(€ "#,##0\);\-</c:formatCode>
                <c:ptCount val="3"/>
                <c:pt idx="0">
                  <c:v>450000</c:v>
                </c:pt>
                <c:pt idx="1">
                  <c:v>-80000</c:v>
                </c:pt>
                <c:pt idx="2">
                  <c:v>370000</c:v>
                </c:pt>
              </c:numCache>
            </c:numRef>
          </c:val>
        </c:ser>
        <c:gapWidth val="150"/>
        <c:overlap val="0"/>
        <c:axId val="82627885"/>
        <c:axId val="7814248"/>
      </c:barChart>
      <c:catAx>
        <c:axId val="826278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14248"/>
        <c:crosses val="autoZero"/>
        <c:auto val="1"/>
        <c:lblAlgn val="ctr"/>
        <c:lblOffset val="100"/>
        <c:noMultiLvlLbl val="0"/>
      </c:catAx>
      <c:valAx>
        <c:axId val="781424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&quot;€ &quot;#,##0;[RED]&quot;(€ &quot;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627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14</xdr:row>
      <xdr:rowOff>0</xdr:rowOff>
    </xdr:from>
    <xdr:to>
      <xdr:col>13</xdr:col>
      <xdr:colOff>607320</xdr:colOff>
      <xdr:row>25</xdr:row>
      <xdr:rowOff>116280</xdr:rowOff>
    </xdr:to>
    <xdr:graphicFrame>
      <xdr:nvGraphicFramePr>
        <xdr:cNvPr id="0" name="Chart 1"/>
        <xdr:cNvGraphicFramePr/>
      </xdr:nvGraphicFramePr>
      <xdr:xfrm>
        <a:off x="7237080" y="2781360"/>
        <a:ext cx="681192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true" outlineLevel="0" collapsed="false">
      <c r="A4" s="1" t="s">
        <v>9</v>
      </c>
      <c r="B4" s="1" t="s">
        <v>10</v>
      </c>
      <c r="C4" s="1" t="s">
        <v>11</v>
      </c>
      <c r="D4" s="4" t="n">
        <v>0.22</v>
      </c>
      <c r="E4" s="5" t="n">
        <f aca="false">D4</f>
        <v>0.22</v>
      </c>
      <c r="F4" s="5" t="n">
        <f aca="false">0</f>
        <v>0</v>
      </c>
      <c r="G4" s="5" t="n">
        <f aca="false">D4</f>
        <v>0.22</v>
      </c>
      <c r="H4" s="1" t="s">
        <v>12</v>
      </c>
    </row>
    <row r="5" customFormat="false" ht="15" hidden="false" customHeight="true" outlineLevel="0" collapsed="false">
      <c r="A5" s="1" t="s">
        <v>13</v>
      </c>
      <c r="B5" s="1" t="s">
        <v>14</v>
      </c>
      <c r="C5" s="1" t="s">
        <v>15</v>
      </c>
      <c r="D5" s="6" t="n">
        <v>1700000</v>
      </c>
      <c r="E5" s="7" t="n">
        <f aca="false">IF(C5="Gross incl. VAT",D5/(1+$D$4),D5)</f>
        <v>1700000</v>
      </c>
      <c r="F5" s="7" t="n">
        <f aca="false">IF(C5="Gross incl. VAT",D5-E5,IF(C5="Net + VAT",D5*$D$4,0))</f>
        <v>374000</v>
      </c>
      <c r="G5" s="7" t="n">
        <f aca="false">IF(C5="Gross incl. VAT",D5,IF(C5="Net + VAT",D5*(1+$D$4),D5))</f>
        <v>2074000</v>
      </c>
      <c r="H5" s="1" t="s">
        <v>16</v>
      </c>
    </row>
    <row r="6" customFormat="false" ht="15" hidden="false" customHeight="true" outlineLevel="0" collapsed="false">
      <c r="A6" s="1" t="s">
        <v>13</v>
      </c>
      <c r="B6" s="1" t="s">
        <v>17</v>
      </c>
      <c r="C6" s="1" t="s">
        <v>18</v>
      </c>
      <c r="D6" s="6" t="n">
        <v>700000</v>
      </c>
      <c r="E6" s="7" t="n">
        <f aca="false">IF(C6="Gross incl. VAT",D6/(1+$D$4),D6)</f>
        <v>700000</v>
      </c>
      <c r="F6" s="7" t="n">
        <f aca="false">IF(C6="Gross incl. VAT",D6-E6,IF(C6="Net + VAT",D6*$D$4,0))</f>
        <v>0</v>
      </c>
      <c r="G6" s="7" t="n">
        <f aca="false">IF(C6="Gross incl. VAT",D6,IF(C6="Net + VAT",D6*(1+$D$4),D6))</f>
        <v>700000</v>
      </c>
      <c r="H6" s="1" t="s">
        <v>16</v>
      </c>
    </row>
    <row r="7" customFormat="false" ht="15" hidden="false" customHeight="true" outlineLevel="0" collapsed="false">
      <c r="A7" s="1" t="s">
        <v>19</v>
      </c>
      <c r="B7" s="1" t="s">
        <v>20</v>
      </c>
      <c r="C7" s="1" t="s">
        <v>15</v>
      </c>
      <c r="D7" s="6" t="n">
        <v>200000</v>
      </c>
      <c r="E7" s="7" t="n">
        <f aca="false">IF(C7="Gross incl. VAT",D7/(1+$D$4),D7)</f>
        <v>200000</v>
      </c>
      <c r="F7" s="7" t="n">
        <f aca="false">IF(C7="Gross incl. VAT",D7-E7,IF(C7="Net + VAT",D7*$D$4,0))</f>
        <v>44000</v>
      </c>
      <c r="G7" s="7" t="n">
        <f aca="false">IF(C7="Gross incl. VAT",D7,IF(C7="Net + VAT",D7*(1+$D$4),D7))</f>
        <v>244000</v>
      </c>
      <c r="H7" s="1" t="s">
        <v>21</v>
      </c>
    </row>
    <row r="8" customFormat="false" ht="15" hidden="false" customHeight="true" outlineLevel="0" collapsed="false">
      <c r="A8" s="1" t="s">
        <v>19</v>
      </c>
      <c r="B8" s="1" t="s">
        <v>22</v>
      </c>
      <c r="C8" s="1" t="s">
        <v>15</v>
      </c>
      <c r="D8" s="6" t="n">
        <v>230000</v>
      </c>
      <c r="E8" s="7" t="n">
        <f aca="false">IF(C8="Gross incl. VAT",D8/(1+$D$4),D8)</f>
        <v>230000</v>
      </c>
      <c r="F8" s="7" t="n">
        <f aca="false">IF(C8="Gross incl. VAT",D8-E8,IF(C8="Net + VAT",D8*$D$4,0))</f>
        <v>50600</v>
      </c>
      <c r="G8" s="7" t="n">
        <f aca="false">IF(C8="Gross incl. VAT",D8,IF(C8="Net + VAT",D8*(1+$D$4),D8))</f>
        <v>280600</v>
      </c>
      <c r="H8" s="1" t="s">
        <v>21</v>
      </c>
    </row>
    <row r="9" customFormat="false" ht="15" hidden="false" customHeight="true" outlineLevel="0" collapsed="false">
      <c r="A9" s="1" t="s">
        <v>19</v>
      </c>
      <c r="B9" s="1" t="s">
        <v>23</v>
      </c>
      <c r="C9" s="1" t="s">
        <v>15</v>
      </c>
      <c r="D9" s="6" t="n">
        <v>300000</v>
      </c>
      <c r="E9" s="7" t="n">
        <f aca="false">IF(C9="Gross incl. VAT",D9/(1+$D$4),D9)</f>
        <v>300000</v>
      </c>
      <c r="F9" s="7" t="n">
        <f aca="false">IF(C9="Gross incl. VAT",D9-E9,IF(C9="Net + VAT",D9*$D$4,0))</f>
        <v>66000</v>
      </c>
      <c r="G9" s="7" t="n">
        <f aca="false">IF(C9="Gross incl. VAT",D9,IF(C9="Net + VAT",D9*(1+$D$4),D9))</f>
        <v>366000</v>
      </c>
      <c r="H9" s="1" t="s">
        <v>16</v>
      </c>
    </row>
    <row r="10" customFormat="false" ht="15" hidden="false" customHeight="true" outlineLevel="0" collapsed="false">
      <c r="A10" s="1" t="s">
        <v>19</v>
      </c>
      <c r="B10" s="1" t="s">
        <v>24</v>
      </c>
      <c r="C10" s="1" t="s">
        <v>15</v>
      </c>
      <c r="D10" s="6" t="n">
        <v>150000</v>
      </c>
      <c r="E10" s="7" t="n">
        <f aca="false">IF(C10="Gross incl. VAT",D10/(1+$D$4),D10)</f>
        <v>150000</v>
      </c>
      <c r="F10" s="7" t="n">
        <f aca="false">IF(C10="Gross incl. VAT",D10-E10,IF(C10="Net + VAT",D10*$D$4,0))</f>
        <v>33000</v>
      </c>
      <c r="G10" s="7" t="n">
        <f aca="false">IF(C10="Gross incl. VAT",D10,IF(C10="Net + VAT",D10*(1+$D$4),D10))</f>
        <v>183000</v>
      </c>
      <c r="H10" s="1" t="s">
        <v>16</v>
      </c>
    </row>
    <row r="11" customFormat="false" ht="15" hidden="false" customHeight="true" outlineLevel="0" collapsed="false">
      <c r="A11" s="1" t="s">
        <v>25</v>
      </c>
      <c r="B11" s="1" t="s">
        <v>26</v>
      </c>
      <c r="C11" s="1" t="s">
        <v>18</v>
      </c>
      <c r="D11" s="6" t="n">
        <v>380000</v>
      </c>
      <c r="E11" s="7" t="n">
        <f aca="false">IF(C11="Gross incl. VAT",D11/(1+$D$4),D11)</f>
        <v>380000</v>
      </c>
      <c r="F11" s="7" t="n">
        <f aca="false">IF(C11="Gross incl. VAT",D11-E11,IF(C11="Net + VAT",D11*$D$4,0))</f>
        <v>0</v>
      </c>
      <c r="G11" s="7" t="n">
        <f aca="false">IF(C11="Gross incl. VAT",D11,IF(C11="Net + VAT",D11*(1+$D$4),D11))</f>
        <v>380000</v>
      </c>
      <c r="H11" s="1" t="s">
        <v>16</v>
      </c>
    </row>
    <row r="12" customFormat="false" ht="15" hidden="false" customHeight="true" outlineLevel="0" collapsed="false">
      <c r="A12" s="1" t="s">
        <v>25</v>
      </c>
      <c r="B12" s="1" t="s">
        <v>27</v>
      </c>
      <c r="C12" s="1" t="s">
        <v>28</v>
      </c>
      <c r="D12" s="6" t="n">
        <v>140000</v>
      </c>
      <c r="E12" s="7" t="n">
        <f aca="false">IF(C12="Gross incl. VAT",D12/(1+$D$4),D12)</f>
        <v>114754.098360656</v>
      </c>
      <c r="F12" s="7" t="n">
        <f aca="false">IF(C12="Gross incl. VAT",D12-E12,IF(C12="Net + VAT",D12*$D$4,0))</f>
        <v>25245.9016393443</v>
      </c>
      <c r="G12" s="7" t="n">
        <f aca="false">IF(C12="Gross incl. VAT",D12,IF(C12="Net + VAT",D12*(1+$D$4),D12))</f>
        <v>140000</v>
      </c>
      <c r="H12" s="1" t="s">
        <v>16</v>
      </c>
    </row>
    <row r="13" customFormat="false" ht="15" hidden="false" customHeight="true" outlineLevel="0" collapsed="false">
      <c r="A13" s="1" t="s">
        <v>25</v>
      </c>
      <c r="B13" s="1" t="s">
        <v>29</v>
      </c>
      <c r="C13" s="1" t="s">
        <v>28</v>
      </c>
      <c r="D13" s="6" t="n">
        <v>30000</v>
      </c>
      <c r="E13" s="7" t="n">
        <f aca="false">IF(C13="Gross incl. VAT",D13/(1+$D$4),D13)</f>
        <v>24590.1639344262</v>
      </c>
      <c r="F13" s="7" t="n">
        <f aca="false">IF(C13="Gross incl. VAT",D13-E13,IF(C13="Net + VAT",D13*$D$4,0))</f>
        <v>5409.83606557377</v>
      </c>
      <c r="G13" s="7" t="n">
        <f aca="false">IF(C13="Gross incl. VAT",D13,IF(C13="Net + VAT",D13*(1+$D$4),D13))</f>
        <v>30000</v>
      </c>
      <c r="H13" s="1" t="s">
        <v>16</v>
      </c>
    </row>
    <row r="14" customFormat="false" ht="15" hidden="false" customHeight="true" outlineLevel="0" collapsed="false">
      <c r="A14" s="1" t="s">
        <v>25</v>
      </c>
      <c r="B14" s="1" t="s">
        <v>30</v>
      </c>
      <c r="C14" s="1" t="s">
        <v>28</v>
      </c>
      <c r="D14" s="6" t="n">
        <v>100000</v>
      </c>
      <c r="E14" s="7" t="n">
        <f aca="false">IF(C14="Gross incl. VAT",D14/(1+$D$4),D14)</f>
        <v>81967.2131147541</v>
      </c>
      <c r="F14" s="7" t="n">
        <f aca="false">IF(C14="Gross incl. VAT",D14-E14,IF(C14="Net + VAT",D14*$D$4,0))</f>
        <v>18032.7868852459</v>
      </c>
      <c r="G14" s="7" t="n">
        <f aca="false">IF(C14="Gross incl. VAT",D14,IF(C14="Net + VAT",D14*(1+$D$4),D14))</f>
        <v>100000</v>
      </c>
      <c r="H14" s="1" t="s">
        <v>16</v>
      </c>
    </row>
    <row r="15" customFormat="false" ht="15" hidden="false" customHeight="true" outlineLevel="0" collapsed="false">
      <c r="A15" s="1" t="s">
        <v>25</v>
      </c>
      <c r="B15" s="1" t="s">
        <v>31</v>
      </c>
      <c r="C15" s="1" t="s">
        <v>15</v>
      </c>
      <c r="D15" s="6" t="n">
        <v>12000</v>
      </c>
      <c r="E15" s="7" t="n">
        <f aca="false">IF(C15="Gross incl. VAT",D15/(1+$D$4),D15)</f>
        <v>12000</v>
      </c>
      <c r="F15" s="7" t="n">
        <f aca="false">IF(C15="Gross incl. VAT",D15-E15,IF(C15="Net + VAT",D15*$D$4,0))</f>
        <v>2640</v>
      </c>
      <c r="G15" s="7" t="n">
        <f aca="false">IF(C15="Gross incl. VAT",D15,IF(C15="Net + VAT",D15*(1+$D$4),D15))</f>
        <v>14640</v>
      </c>
      <c r="H15" s="1" t="s">
        <v>16</v>
      </c>
    </row>
    <row r="16" customFormat="false" ht="15" hidden="false" customHeight="true" outlineLevel="0" collapsed="false">
      <c r="A16" s="1" t="s">
        <v>25</v>
      </c>
      <c r="B16" s="1" t="s">
        <v>32</v>
      </c>
      <c r="C16" s="1" t="s">
        <v>15</v>
      </c>
      <c r="D16" s="6" t="n">
        <v>15000</v>
      </c>
      <c r="E16" s="7" t="n">
        <f aca="false">IF(C16="Gross incl. VAT",D16/(1+$D$4),D16)</f>
        <v>15000</v>
      </c>
      <c r="F16" s="7" t="n">
        <f aca="false">IF(C16="Gross incl. VAT",D16-E16,IF(C16="Net + VAT",D16*$D$4,0))</f>
        <v>3300</v>
      </c>
      <c r="G16" s="7" t="n">
        <f aca="false">IF(C16="Gross incl. VAT",D16,IF(C16="Net + VAT",D16*(1+$D$4),D16))</f>
        <v>18300</v>
      </c>
      <c r="H16" s="1" t="s">
        <v>16</v>
      </c>
    </row>
    <row r="17" customFormat="false" ht="15" hidden="false" customHeight="true" outlineLevel="0" collapsed="false">
      <c r="A17" s="1" t="s">
        <v>25</v>
      </c>
      <c r="B17" s="1" t="s">
        <v>33</v>
      </c>
      <c r="C17" s="1" t="s">
        <v>15</v>
      </c>
      <c r="D17" s="6" t="n">
        <v>30000</v>
      </c>
      <c r="E17" s="7" t="n">
        <f aca="false">IF(C17="Gross incl. VAT",D17/(1+$D$4),D17)</f>
        <v>30000</v>
      </c>
      <c r="F17" s="7" t="n">
        <f aca="false">IF(C17="Gross incl. VAT",D17-E17,IF(C17="Net + VAT",D17*$D$4,0))</f>
        <v>6600</v>
      </c>
      <c r="G17" s="7" t="n">
        <f aca="false">IF(C17="Gross incl. VAT",D17,IF(C17="Net + VAT",D17*(1+$D$4),D17))</f>
        <v>36600</v>
      </c>
      <c r="H17" s="1" t="s">
        <v>16</v>
      </c>
    </row>
    <row r="18" customFormat="false" ht="15" hidden="false" customHeight="true" outlineLevel="0" collapsed="false">
      <c r="A18" s="1" t="s">
        <v>25</v>
      </c>
      <c r="B18" s="1" t="s">
        <v>34</v>
      </c>
      <c r="C18" s="1" t="s">
        <v>15</v>
      </c>
      <c r="D18" s="6" t="n">
        <v>30000</v>
      </c>
      <c r="E18" s="7" t="n">
        <f aca="false">IF(C18="Gross incl. VAT",D18/(1+$D$4),D18)</f>
        <v>30000</v>
      </c>
      <c r="F18" s="7" t="n">
        <f aca="false">IF(C18="Gross incl. VAT",D18-E18,IF(C18="Net + VAT",D18*$D$4,0))</f>
        <v>6600</v>
      </c>
      <c r="G18" s="7" t="n">
        <f aca="false">IF(C18="Gross incl. VAT",D18,IF(C18="Net + VAT",D18*(1+$D$4),D18))</f>
        <v>36600</v>
      </c>
      <c r="H18" s="1" t="s">
        <v>16</v>
      </c>
    </row>
    <row r="19" customFormat="false" ht="15" hidden="false" customHeight="true" outlineLevel="0" collapsed="false">
      <c r="A19" s="1" t="s">
        <v>25</v>
      </c>
      <c r="B19" s="1" t="s">
        <v>35</v>
      </c>
      <c r="C19" s="1" t="s">
        <v>15</v>
      </c>
      <c r="D19" s="6" t="n">
        <v>30000</v>
      </c>
      <c r="E19" s="7" t="n">
        <f aca="false">IF(C19="Gross incl. VAT",D19/(1+$D$4),D19)</f>
        <v>30000</v>
      </c>
      <c r="F19" s="7" t="n">
        <f aca="false">IF(C19="Gross incl. VAT",D19-E19,IF(C19="Net + VAT",D19*$D$4,0))</f>
        <v>6600</v>
      </c>
      <c r="G19" s="7" t="n">
        <f aca="false">IF(C19="Gross incl. VAT",D19,IF(C19="Net + VAT",D19*(1+$D$4),D19))</f>
        <v>36600</v>
      </c>
      <c r="H19" s="1" t="s">
        <v>16</v>
      </c>
    </row>
    <row r="20" customFormat="false" ht="15" hidden="false" customHeight="true" outlineLevel="0" collapsed="false">
      <c r="A20" s="1" t="s">
        <v>25</v>
      </c>
      <c r="B20" s="1" t="s">
        <v>36</v>
      </c>
      <c r="C20" s="1" t="s">
        <v>15</v>
      </c>
      <c r="D20" s="6" t="n">
        <v>30000</v>
      </c>
      <c r="E20" s="7" t="n">
        <f aca="false">IF(C20="Gross incl. VAT",D20/(1+$D$4),D20)</f>
        <v>30000</v>
      </c>
      <c r="F20" s="7" t="n">
        <f aca="false">IF(C20="Gross incl. VAT",D20-E20,IF(C20="Net + VAT",D20*$D$4,0))</f>
        <v>6600</v>
      </c>
      <c r="G20" s="7" t="n">
        <f aca="false">IF(C20="Gross incl. VAT",D20,IF(C20="Net + VAT",D20*(1+$D$4),D20))</f>
        <v>36600</v>
      </c>
      <c r="H20" s="1" t="s">
        <v>16</v>
      </c>
    </row>
    <row r="21" customFormat="false" ht="15" hidden="false" customHeight="true" outlineLevel="0" collapsed="false">
      <c r="A21" s="1" t="s">
        <v>25</v>
      </c>
      <c r="B21" s="1" t="s">
        <v>37</v>
      </c>
      <c r="C21" s="1" t="s">
        <v>15</v>
      </c>
      <c r="D21" s="6" t="n">
        <v>40000</v>
      </c>
      <c r="E21" s="7" t="n">
        <f aca="false">IF(C21="Gross incl. VAT",D21/(1+$D$4),D21)</f>
        <v>40000</v>
      </c>
      <c r="F21" s="7" t="n">
        <f aca="false">IF(C21="Gross incl. VAT",D21-E21,IF(C21="Net + VAT",D21*$D$4,0))</f>
        <v>8800</v>
      </c>
      <c r="G21" s="7" t="n">
        <f aca="false">IF(C21="Gross incl. VAT",D21,IF(C21="Net + VAT",D21*(1+$D$4),D21))</f>
        <v>48800</v>
      </c>
      <c r="H21" s="1" t="s">
        <v>16</v>
      </c>
    </row>
    <row r="22" customFormat="false" ht="15" hidden="false" customHeight="true" outlineLevel="0" collapsed="false">
      <c r="A22" s="1" t="s">
        <v>38</v>
      </c>
      <c r="B22" s="1" t="s">
        <v>39</v>
      </c>
      <c r="C22" s="1" t="s">
        <v>18</v>
      </c>
      <c r="D22" s="6" t="n">
        <v>250000</v>
      </c>
      <c r="E22" s="7" t="n">
        <f aca="false">IF(C22="Gross incl. VAT",D22/(1+$D$4),D22)</f>
        <v>250000</v>
      </c>
      <c r="F22" s="7" t="n">
        <f aca="false">IF(C22="Gross incl. VAT",D22-E22,IF(C22="Net + VAT",D22*$D$4,0))</f>
        <v>0</v>
      </c>
      <c r="G22" s="7" t="n">
        <f aca="false">IF(C22="Gross incl. VAT",D22,IF(C22="Net + VAT",D22*(1+$D$4),D22))</f>
        <v>250000</v>
      </c>
      <c r="H22" s="1" t="s">
        <v>16</v>
      </c>
    </row>
    <row r="23" customFormat="false" ht="15" hidden="false" customHeight="true" outlineLevel="0" collapsed="false">
      <c r="A23" s="1" t="s">
        <v>38</v>
      </c>
      <c r="B23" s="1" t="s">
        <v>40</v>
      </c>
      <c r="C23" s="1" t="s">
        <v>18</v>
      </c>
      <c r="D23" s="6" t="n">
        <v>10000</v>
      </c>
      <c r="E23" s="7" t="n">
        <f aca="false">IF(C23="Gross incl. VAT",D23/(1+$D$4),D23)</f>
        <v>10000</v>
      </c>
      <c r="F23" s="7" t="n">
        <f aca="false">IF(C23="Gross incl. VAT",D23-E23,IF(C23="Net + VAT",D23*$D$4,0))</f>
        <v>0</v>
      </c>
      <c r="G23" s="7" t="n">
        <f aca="false">IF(C23="Gross incl. VAT",D23,IF(C23="Net + VAT",D23*(1+$D$4),D23))</f>
        <v>10000</v>
      </c>
      <c r="H23" s="1" t="s">
        <v>16</v>
      </c>
    </row>
    <row r="24" customFormat="false" ht="15" hidden="false" customHeight="true" outlineLevel="0" collapsed="false">
      <c r="A24" s="1" t="s">
        <v>38</v>
      </c>
      <c r="B24" s="1" t="s">
        <v>41</v>
      </c>
      <c r="C24" s="1" t="s">
        <v>18</v>
      </c>
      <c r="D24" s="6" t="n">
        <v>10000</v>
      </c>
      <c r="E24" s="7" t="n">
        <f aca="false">IF(C24="Gross incl. VAT",D24/(1+$D$4),D24)</f>
        <v>10000</v>
      </c>
      <c r="F24" s="7" t="n">
        <f aca="false">IF(C24="Gross incl. VAT",D24-E24,IF(C24="Net + VAT",D24*$D$4,0))</f>
        <v>0</v>
      </c>
      <c r="G24" s="7" t="n">
        <f aca="false">IF(C24="Gross incl. VAT",D24,IF(C24="Net + VAT",D24*(1+$D$4),D24))</f>
        <v>10000</v>
      </c>
      <c r="H24" s="1" t="s">
        <v>16</v>
      </c>
    </row>
    <row r="25" customFormat="false" ht="15" hidden="false" customHeight="true" outlineLevel="0" collapsed="false">
      <c r="A25" s="8" t="s">
        <v>42</v>
      </c>
      <c r="B25" s="8" t="s">
        <v>43</v>
      </c>
      <c r="C25" s="9" t="s">
        <v>15</v>
      </c>
      <c r="D25" s="10" t="n">
        <v>25000</v>
      </c>
      <c r="E25" s="10" t="n">
        <v>25000</v>
      </c>
      <c r="F25" s="10" t="n">
        <v>0</v>
      </c>
      <c r="G25" s="10" t="n">
        <v>25000</v>
      </c>
      <c r="H25" s="8" t="s">
        <v>16</v>
      </c>
    </row>
    <row r="26" customFormat="false" ht="15" hidden="false" customHeight="true" outlineLevel="0" collapsed="false">
      <c r="A26" s="8" t="s">
        <v>44</v>
      </c>
      <c r="B26" s="8" t="s">
        <v>45</v>
      </c>
      <c r="C26" s="9" t="s">
        <v>18</v>
      </c>
      <c r="D26" s="10" t="n">
        <v>200000</v>
      </c>
      <c r="E26" s="10" t="n">
        <v>200000</v>
      </c>
      <c r="F26" s="10" t="n">
        <v>0</v>
      </c>
      <c r="G26" s="10" t="n">
        <v>200000</v>
      </c>
      <c r="H26" s="8" t="s">
        <v>16</v>
      </c>
    </row>
    <row r="27" customFormat="false" ht="15" hidden="false" customHeight="true" outlineLevel="0" collapsed="false">
      <c r="A27" s="8" t="s">
        <v>46</v>
      </c>
      <c r="B27" s="8" t="s">
        <v>47</v>
      </c>
      <c r="C27" s="9" t="s">
        <v>18</v>
      </c>
      <c r="D27" s="10" t="n">
        <v>80000</v>
      </c>
      <c r="E27" s="10" t="n">
        <v>80000</v>
      </c>
      <c r="F27" s="10" t="n">
        <v>0</v>
      </c>
      <c r="G27" s="10" t="n">
        <v>80000</v>
      </c>
      <c r="H27" s="8" t="s">
        <v>16</v>
      </c>
    </row>
    <row r="28" customFormat="false" ht="15" hidden="false" customHeight="true" outlineLevel="0" collapsed="false">
      <c r="A28" s="8" t="s">
        <v>46</v>
      </c>
      <c r="B28" s="8" t="s">
        <v>48</v>
      </c>
      <c r="C28" s="9" t="s">
        <v>18</v>
      </c>
      <c r="D28" s="10" t="n">
        <v>100000</v>
      </c>
      <c r="E28" s="10" t="n">
        <v>100000</v>
      </c>
      <c r="F28" s="10" t="n">
        <v>0</v>
      </c>
      <c r="G28" s="10" t="n">
        <v>100000</v>
      </c>
      <c r="H28" s="8" t="s">
        <v>16</v>
      </c>
    </row>
    <row r="29" customFormat="false" ht="15" hidden="false" customHeight="true" outlineLevel="0" collapsed="false">
      <c r="A29" s="8" t="s">
        <v>49</v>
      </c>
      <c r="B29" s="8" t="s">
        <v>50</v>
      </c>
      <c r="C29" s="8" t="s">
        <v>18</v>
      </c>
      <c r="D29" s="10" t="n">
        <v>6000</v>
      </c>
      <c r="E29" s="10" t="n">
        <v>6000</v>
      </c>
      <c r="F29" s="10" t="n">
        <v>0</v>
      </c>
      <c r="G29" s="10" t="n">
        <v>6000</v>
      </c>
      <c r="H29" s="8" t="s">
        <v>51</v>
      </c>
    </row>
    <row r="30" customFormat="false" ht="15" hidden="false" customHeight="true" outlineLevel="0" collapsed="false">
      <c r="A30" s="8" t="s">
        <v>52</v>
      </c>
      <c r="B30" s="8" t="s">
        <v>53</v>
      </c>
      <c r="C30" s="8" t="s">
        <v>15</v>
      </c>
      <c r="D30" s="10" t="n">
        <v>200000</v>
      </c>
      <c r="E30" s="10" t="n">
        <v>200000</v>
      </c>
      <c r="F30" s="10" t="n">
        <v>44000</v>
      </c>
      <c r="G30" s="10" t="n">
        <v>244000</v>
      </c>
      <c r="H30" s="8" t="s">
        <v>54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24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2</v>
      </c>
      <c r="B3" s="3" t="s">
        <v>56</v>
      </c>
      <c r="C3" s="3" t="s">
        <v>57</v>
      </c>
      <c r="D3" s="3" t="s">
        <v>58</v>
      </c>
      <c r="E3" s="1"/>
      <c r="F3" s="11" t="s">
        <v>59</v>
      </c>
      <c r="G3" s="11" t="s">
        <v>60</v>
      </c>
      <c r="H3" s="11" t="s">
        <v>58</v>
      </c>
    </row>
    <row r="4" customFormat="false" ht="15" hidden="false" customHeight="true" outlineLevel="0" collapsed="false">
      <c r="A4" s="12" t="s">
        <v>13</v>
      </c>
      <c r="B4" s="12"/>
      <c r="C4" s="12"/>
      <c r="D4" s="12"/>
      <c r="F4" s="1" t="s">
        <v>61</v>
      </c>
      <c r="G4" s="7" t="n">
        <f aca="false">Assumptions!F5</f>
        <v>374000</v>
      </c>
    </row>
    <row r="5" customFormat="false" ht="15" hidden="false" customHeight="true" outlineLevel="0" collapsed="false">
      <c r="A5" s="1" t="s">
        <v>14</v>
      </c>
      <c r="B5" s="7" t="n">
        <f aca="false">Assumptions!E5</f>
        <v>1700000</v>
      </c>
      <c r="C5" s="5" t="n">
        <f aca="false">IF($B$9=0,0,B5/$B$9)</f>
        <v>0.7981220657277</v>
      </c>
      <c r="D5" s="1" t="s">
        <v>62</v>
      </c>
      <c r="F5" s="1" t="s">
        <v>63</v>
      </c>
      <c r="G5" s="7" t="n">
        <f aca="false">Assumptions!F7</f>
        <v>44000</v>
      </c>
    </row>
    <row r="6" customFormat="false" ht="15" hidden="false" customHeight="true" outlineLevel="0" collapsed="false">
      <c r="A6" s="1" t="s">
        <v>64</v>
      </c>
      <c r="B6" s="7" t="n">
        <f aca="false">Assumptions!E7</f>
        <v>200000</v>
      </c>
      <c r="C6" s="5" t="n">
        <f aca="false">IF($B$9=0,0,B6/$B$9)</f>
        <v>0.0938967136150235</v>
      </c>
      <c r="D6" s="1" t="s">
        <v>19</v>
      </c>
      <c r="F6" s="1" t="s">
        <v>65</v>
      </c>
      <c r="G6" s="7" t="n">
        <f aca="false">Assumptions!F8</f>
        <v>50600</v>
      </c>
    </row>
    <row r="7" customFormat="false" ht="15" hidden="false" customHeight="true" outlineLevel="0" collapsed="false">
      <c r="A7" s="1" t="s">
        <v>66</v>
      </c>
      <c r="B7" s="7" t="n">
        <f aca="false">Assumptions!E8</f>
        <v>230000</v>
      </c>
      <c r="C7" s="5" t="n">
        <f aca="false">IF($B$9=0,0,B7/$B$9)</f>
        <v>0.107981220657277</v>
      </c>
      <c r="D7" s="1" t="s">
        <v>19</v>
      </c>
      <c r="F7" s="13" t="s">
        <v>67</v>
      </c>
      <c r="G7" s="14" t="n">
        <f aca="false">SUM(G4:G6)</f>
        <v>468600</v>
      </c>
      <c r="H7" s="13"/>
    </row>
    <row r="8" customFormat="false" ht="15" hidden="false" customHeight="true" outlineLevel="0" collapsed="false">
      <c r="B8" s="7"/>
      <c r="C8" s="5" t="n">
        <f aca="false">IF($B$9=0,0,B8/$B$9)</f>
        <v>0</v>
      </c>
      <c r="F8" s="1" t="s">
        <v>68</v>
      </c>
      <c r="G8" s="7" t="n">
        <f aca="false">SUM(Assumptions!F12:F21)</f>
        <v>89828.5245901639</v>
      </c>
    </row>
    <row r="9" customFormat="false" ht="15" hidden="false" customHeight="true" outlineLevel="0" collapsed="false">
      <c r="A9" s="1" t="s">
        <v>69</v>
      </c>
      <c r="B9" s="8" t="n">
        <f aca="false">SUM(B5:B7)</f>
        <v>2130000</v>
      </c>
      <c r="C9" s="1" t="n">
        <f aca="false">IF($B$9=0,0,B9/$B$9)</f>
        <v>1</v>
      </c>
      <c r="F9" s="8" t="s">
        <v>70</v>
      </c>
      <c r="G9" s="10" t="n">
        <v>44000</v>
      </c>
    </row>
    <row r="10" customFormat="false" ht="15" hidden="false" customHeight="true" outlineLevel="0" collapsed="false">
      <c r="A10" s="13" t="s">
        <v>69</v>
      </c>
      <c r="B10" s="14"/>
      <c r="C10" s="15"/>
      <c r="D10" s="13"/>
      <c r="F10" s="1" t="s">
        <v>71</v>
      </c>
      <c r="G10" s="7" t="n">
        <f aca="false">SUM(Assumptions!F9:F10)</f>
        <v>99000</v>
      </c>
    </row>
    <row r="11" customFormat="false" ht="15" hidden="false" customHeight="true" outlineLevel="0" collapsed="false">
      <c r="B11" s="7"/>
      <c r="C11" s="5"/>
      <c r="F11" s="13" t="s">
        <v>72</v>
      </c>
      <c r="G11" s="16" t="n">
        <f aca="false">SUM(G8:G10)</f>
        <v>232828.524590164</v>
      </c>
      <c r="H11" s="13"/>
    </row>
    <row r="12" customFormat="false" ht="15" hidden="false" customHeight="true" outlineLevel="0" collapsed="false">
      <c r="A12" s="17" t="s">
        <v>73</v>
      </c>
      <c r="B12" s="18"/>
      <c r="C12" s="19"/>
      <c r="D12" s="17"/>
      <c r="F12" s="20" t="s">
        <v>74</v>
      </c>
      <c r="G12" s="21" t="n">
        <f aca="false">G7-G11</f>
        <v>235771.475409836</v>
      </c>
      <c r="H12" s="20"/>
    </row>
    <row r="13" customFormat="false" ht="15" hidden="false" customHeight="true" outlineLevel="0" collapsed="false">
      <c r="F13" s="8" t="s">
        <v>75</v>
      </c>
      <c r="G13" s="10"/>
    </row>
    <row r="14" customFormat="false" ht="15" hidden="false" customHeight="true" outlineLevel="0" collapsed="false">
      <c r="F14" s="22" t="s">
        <v>76</v>
      </c>
      <c r="G14" s="23" t="n">
        <f aca="false">G12</f>
        <v>235771.475409836</v>
      </c>
    </row>
    <row r="15" customFormat="false" ht="15" hidden="false" customHeight="true" outlineLevel="0" collapsed="false">
      <c r="A15" s="1" t="s">
        <v>26</v>
      </c>
      <c r="B15" s="7" t="n">
        <f aca="false">Assumptions!E11</f>
        <v>380000</v>
      </c>
      <c r="C15" s="5" t="n">
        <f aca="false">IF($B$9=0,0,B12/$B$9)</f>
        <v>0</v>
      </c>
    </row>
    <row r="16" customFormat="false" ht="15" hidden="false" customHeight="true" outlineLevel="0" collapsed="false">
      <c r="A16" s="1" t="s">
        <v>27</v>
      </c>
      <c r="B16" s="7" t="n">
        <f aca="false">Assumptions!E12</f>
        <v>114754.098360656</v>
      </c>
      <c r="C16" s="5" t="n">
        <f aca="false">IF($B$9=0,0,B13/$B$9)</f>
        <v>0</v>
      </c>
    </row>
    <row r="17" customFormat="false" ht="15" hidden="false" customHeight="true" outlineLevel="0" collapsed="false">
      <c r="A17" s="1" t="s">
        <v>29</v>
      </c>
      <c r="B17" s="7" t="n">
        <f aca="false">Assumptions!E13</f>
        <v>24590.1639344262</v>
      </c>
      <c r="C17" s="5" t="n">
        <f aca="false">IF($B$9=0,0,B14/$B$9)</f>
        <v>0</v>
      </c>
    </row>
    <row r="18" customFormat="false" ht="15" hidden="false" customHeight="true" outlineLevel="0" collapsed="false">
      <c r="A18" s="1" t="s">
        <v>30</v>
      </c>
      <c r="B18" s="7" t="n">
        <f aca="false">Assumptions!E14</f>
        <v>81967.2131147541</v>
      </c>
      <c r="C18" s="5" t="n">
        <f aca="false">IF($B$9=0,0,B15/$B$9)</f>
        <v>0.178403755868545</v>
      </c>
    </row>
    <row r="19" customFormat="false" ht="15" hidden="false" customHeight="true" outlineLevel="0" collapsed="false">
      <c r="A19" s="1" t="s">
        <v>31</v>
      </c>
      <c r="B19" s="7" t="n">
        <f aca="false">Assumptions!E15</f>
        <v>12000</v>
      </c>
      <c r="C19" s="5" t="n">
        <f aca="false">IF($B$9=0,0,B16/$B$9)</f>
        <v>0.0538751635496036</v>
      </c>
    </row>
    <row r="20" customFormat="false" ht="15" hidden="false" customHeight="true" outlineLevel="0" collapsed="false">
      <c r="A20" s="1" t="s">
        <v>32</v>
      </c>
      <c r="B20" s="7" t="n">
        <f aca="false">Assumptions!E16</f>
        <v>15000</v>
      </c>
      <c r="C20" s="5" t="n">
        <f aca="false">IF($B$9=0,0,B17/$B$9)</f>
        <v>0.0115446779034865</v>
      </c>
    </row>
    <row r="21" customFormat="false" ht="15" hidden="false" customHeight="true" outlineLevel="0" collapsed="false">
      <c r="A21" s="1" t="s">
        <v>33</v>
      </c>
      <c r="B21" s="7" t="n">
        <f aca="false">Assumptions!E17</f>
        <v>30000</v>
      </c>
      <c r="C21" s="5" t="n">
        <f aca="false">IF($B$9=0,0,B18/$B$9)</f>
        <v>0.0384822596782883</v>
      </c>
    </row>
    <row r="22" customFormat="false" ht="15" hidden="false" customHeight="true" outlineLevel="0" collapsed="false">
      <c r="A22" s="1" t="s">
        <v>34</v>
      </c>
      <c r="B22" s="7" t="n">
        <f aca="false">Assumptions!E18</f>
        <v>30000</v>
      </c>
      <c r="C22" s="5" t="n">
        <f aca="false">IF($B$9=0,0,B19/$B$9)</f>
        <v>0.00563380281690141</v>
      </c>
    </row>
    <row r="23" customFormat="false" ht="15" hidden="false" customHeight="true" outlineLevel="0" collapsed="false">
      <c r="A23" s="1" t="s">
        <v>35</v>
      </c>
      <c r="B23" s="7" t="n">
        <f aca="false">Assumptions!E19</f>
        <v>30000</v>
      </c>
      <c r="C23" s="5" t="n">
        <f aca="false">IF($B$9=0,0,B20/$B$9)</f>
        <v>0.00704225352112676</v>
      </c>
    </row>
    <row r="24" customFormat="false" ht="15" hidden="false" customHeight="true" outlineLevel="0" collapsed="false">
      <c r="A24" s="1" t="s">
        <v>36</v>
      </c>
      <c r="B24" s="7" t="n">
        <f aca="false">Assumptions!E20</f>
        <v>30000</v>
      </c>
      <c r="C24" s="5" t="n">
        <f aca="false">IF($B$9=0,0,B21/$B$9)</f>
        <v>0.0140845070422535</v>
      </c>
    </row>
    <row r="25" customFormat="false" ht="15" hidden="false" customHeight="true" outlineLevel="0" collapsed="false">
      <c r="A25" s="1" t="s">
        <v>37</v>
      </c>
      <c r="B25" s="7" t="n">
        <f aca="false">Assumptions!E21</f>
        <v>40000</v>
      </c>
      <c r="C25" s="5" t="n">
        <f aca="false">IF($B$9=0,0,B22/$B$9)</f>
        <v>0.0140845070422535</v>
      </c>
    </row>
    <row r="26" customFormat="false" ht="15" hidden="false" customHeight="true" outlineLevel="0" collapsed="false">
      <c r="A26" s="1" t="s">
        <v>77</v>
      </c>
      <c r="B26" s="7" t="n">
        <f aca="false">Assumptions!E9</f>
        <v>300000</v>
      </c>
      <c r="C26" s="5" t="n">
        <f aca="false">IF($B$9=0,0,B23/$B$9)</f>
        <v>0.0140845070422535</v>
      </c>
    </row>
    <row r="27" customFormat="false" ht="15" hidden="false" customHeight="true" outlineLevel="0" collapsed="false">
      <c r="A27" s="1" t="s">
        <v>78</v>
      </c>
      <c r="B27" s="7" t="n">
        <f aca="false">Assumptions!E10</f>
        <v>150000</v>
      </c>
      <c r="C27" s="5" t="n">
        <f aca="false">IF($B$9=0,0,B24/$B$9)</f>
        <v>0.0140845070422535</v>
      </c>
    </row>
    <row r="28" customFormat="false" ht="15" hidden="false" customHeight="true" outlineLevel="0" collapsed="false">
      <c r="A28" s="24" t="s">
        <v>79</v>
      </c>
      <c r="B28" s="25" t="n">
        <f aca="false">SUM(B12:B27)+B30+B31</f>
        <v>1269311.47540984</v>
      </c>
      <c r="C28" s="26" t="n">
        <f aca="false">IF($B$9=0,0,B25/$B$9)</f>
        <v>0.0187793427230047</v>
      </c>
      <c r="D28" s="24"/>
    </row>
    <row r="29" customFormat="false" ht="15" hidden="false" customHeight="true" outlineLevel="0" collapsed="false">
      <c r="B29" s="7"/>
      <c r="C29" s="5"/>
    </row>
    <row r="30" customFormat="false" ht="27.75" hidden="false" customHeight="true" outlineLevel="0" collapsed="false">
      <c r="A30" s="1" t="s">
        <v>80</v>
      </c>
      <c r="B30" s="10" t="n">
        <v>25000</v>
      </c>
      <c r="C30" s="27" t="n">
        <f aca="false">IF($B$9=0,0,B27/$B$9)</f>
        <v>0.0704225352112676</v>
      </c>
      <c r="D30" s="1" t="s">
        <v>81</v>
      </c>
    </row>
    <row r="31" customFormat="false" ht="15" hidden="false" customHeight="true" outlineLevel="0" collapsed="false">
      <c r="A31" s="28" t="s">
        <v>82</v>
      </c>
      <c r="B31" s="10" t="n">
        <v>6000</v>
      </c>
      <c r="C31" s="29" t="n">
        <f aca="false">IF($B$9=0,0,B28/$B$9)</f>
        <v>0.595920880474101</v>
      </c>
      <c r="D31" s="28" t="s">
        <v>83</v>
      </c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>
      <c r="A34" s="13" t="s">
        <v>84</v>
      </c>
      <c r="B34" s="30" t="n">
        <f aca="false">B9-B28</f>
        <v>860688.524590164</v>
      </c>
      <c r="C34" s="15" t="n">
        <f aca="false">IF($B$9=0,0,B34/$B$9)</f>
        <v>0.404079119525899</v>
      </c>
      <c r="D34" s="13" t="s">
        <v>85</v>
      </c>
      <c r="E34" s="1"/>
    </row>
    <row r="35" customFormat="false" ht="15" hidden="false" customHeight="true" outlineLevel="0" collapsed="false">
      <c r="A35" s="1" t="s">
        <v>45</v>
      </c>
      <c r="B35" s="10" t="n">
        <v>-200000</v>
      </c>
      <c r="C35" s="27" t="n">
        <f aca="false">IF($B$9=0,0,B35/$B$9)</f>
        <v>-0.0938967136150235</v>
      </c>
      <c r="D35" s="1" t="s">
        <v>86</v>
      </c>
    </row>
    <row r="36" customFormat="false" ht="15" hidden="false" customHeight="true" outlineLevel="0" collapsed="false">
      <c r="A36" s="22" t="s">
        <v>87</v>
      </c>
      <c r="B36" s="23" t="n">
        <f aca="false">B34+B35</f>
        <v>660688.524590164</v>
      </c>
      <c r="C36" s="31" t="n">
        <f aca="false">IF($B$9=0,0,B36/$B$9)</f>
        <v>0.310182405910875</v>
      </c>
      <c r="D36" s="32" t="s">
        <v>88</v>
      </c>
    </row>
    <row r="37" customFormat="false" ht="15" hidden="false" customHeight="true" outlineLevel="0" collapsed="false">
      <c r="A37" s="1" t="s">
        <v>89</v>
      </c>
      <c r="B37" s="33" t="n">
        <f aca="false">IF(B36&gt;0,-B36*0.24,0)</f>
        <v>-158565.245901639</v>
      </c>
      <c r="C37" s="27" t="n">
        <f aca="false">IF($B$9=0,0,B37/$B$9)</f>
        <v>-0.07444377741861</v>
      </c>
      <c r="D37" s="1" t="s">
        <v>90</v>
      </c>
    </row>
    <row r="38" customFormat="false" ht="15" hidden="false" customHeight="true" outlineLevel="0" collapsed="false">
      <c r="A38" s="1" t="s">
        <v>91</v>
      </c>
      <c r="B38" s="33" t="n">
        <f aca="false">IF(B36&gt;0,-B36*0.039,0)</f>
        <v>-25766.8524590164</v>
      </c>
      <c r="C38" s="27" t="n">
        <f aca="false">IF($B$9=0,0,B38/$B$9)</f>
        <v>-0.0120971138305241</v>
      </c>
      <c r="D38" s="1" t="s">
        <v>92</v>
      </c>
    </row>
    <row r="39" customFormat="false" ht="15" hidden="false" customHeight="true" outlineLevel="0" collapsed="false">
      <c r="A39" s="22" t="s">
        <v>93</v>
      </c>
      <c r="B39" s="23" t="n">
        <f aca="false">B36+B37+B38</f>
        <v>476356.426229508</v>
      </c>
      <c r="C39" s="31" t="n">
        <f aca="false">IF($B$9=0,0,B39/$B$9)</f>
        <v>0.223641514661741</v>
      </c>
      <c r="D39" s="32" t="s">
        <v>94</v>
      </c>
    </row>
    <row r="42" customFormat="false" ht="15" hidden="false" customHeight="true" outlineLevel="0" collapsed="false">
      <c r="A42" s="34" t="s">
        <v>95</v>
      </c>
    </row>
    <row r="43" customFormat="false" ht="15" hidden="false" customHeight="true" outlineLevel="0" collapsed="false">
      <c r="A43" s="1" t="s">
        <v>93</v>
      </c>
      <c r="B43" s="33" t="n">
        <f aca="false">B39</f>
        <v>476356.426229508</v>
      </c>
      <c r="C43" s="29" t="n">
        <f aca="false">IF($B$9=0,0,B43/$B$9)</f>
        <v>0.223641514661741</v>
      </c>
    </row>
    <row r="44" customFormat="false" ht="15" hidden="false" customHeight="true" outlineLevel="0" collapsed="false">
      <c r="A44" s="1" t="s">
        <v>96</v>
      </c>
      <c r="B44" s="33" t="n">
        <f aca="false">-B35</f>
        <v>200000</v>
      </c>
      <c r="C44" s="29" t="n">
        <f aca="false">IF($B$9=0,0,B44/$B$9)</f>
        <v>0.0938967136150235</v>
      </c>
      <c r="D44" s="1" t="s">
        <v>97</v>
      </c>
    </row>
    <row r="45" customFormat="false" ht="15" hidden="false" customHeight="true" outlineLevel="0" collapsed="false">
      <c r="A45" s="22" t="s">
        <v>98</v>
      </c>
      <c r="B45" s="23" t="n">
        <f aca="false">B43+B44</f>
        <v>676356.426229508</v>
      </c>
      <c r="C45" s="35" t="n">
        <f aca="false">IF($B$9=0,0,B45/$B$9)</f>
        <v>0.317538228276764</v>
      </c>
    </row>
    <row r="47" customFormat="false" ht="15" hidden="false" customHeight="true" outlineLevel="0" collapsed="false">
      <c r="A47" s="34" t="s">
        <v>99</v>
      </c>
    </row>
    <row r="48" customFormat="false" ht="15" hidden="false" customHeight="true" outlineLevel="0" collapsed="false">
      <c r="A48" s="1" t="s">
        <v>100</v>
      </c>
      <c r="B48" s="10" t="n">
        <v>-200000</v>
      </c>
      <c r="C48" s="29" t="n">
        <f aca="false">IF($B$9=0,0,B48/$B$9)</f>
        <v>-0.0938967136150235</v>
      </c>
      <c r="D48" s="1" t="s">
        <v>101</v>
      </c>
    </row>
    <row r="49" customFormat="false" ht="15" hidden="false" customHeight="true" outlineLevel="0" collapsed="false">
      <c r="A49" s="1" t="s">
        <v>102</v>
      </c>
      <c r="B49" s="33" t="n">
        <f aca="false">-200000*0.22</f>
        <v>-44000</v>
      </c>
      <c r="C49" s="29" t="n">
        <f aca="false">IF($B$9=0,0,B49/$B$9)</f>
        <v>-0.0206572769953052</v>
      </c>
      <c r="D49" s="1" t="s">
        <v>103</v>
      </c>
    </row>
    <row r="50" customFormat="false" ht="15" hidden="false" customHeight="true" outlineLevel="0" collapsed="false">
      <c r="A50" s="22" t="s">
        <v>104</v>
      </c>
      <c r="B50" s="23" t="n">
        <f aca="false">B48</f>
        <v>-200000</v>
      </c>
      <c r="C50" s="35" t="n">
        <f aca="false">IF($B$9=0,0,B50/$B$9)</f>
        <v>-0.0938967136150235</v>
      </c>
      <c r="D50" s="1" t="s">
        <v>105</v>
      </c>
    </row>
    <row r="52" customFormat="false" ht="15" hidden="false" customHeight="true" outlineLevel="0" collapsed="false">
      <c r="A52" s="34" t="s">
        <v>106</v>
      </c>
    </row>
    <row r="53" customFormat="false" ht="15" hidden="false" customHeight="true" outlineLevel="0" collapsed="false">
      <c r="A53" s="36" t="s">
        <v>107</v>
      </c>
      <c r="B53" s="37" t="n">
        <f aca="false">B45+B50</f>
        <v>476356.426229508</v>
      </c>
      <c r="C53" s="38" t="n">
        <f aca="false">IF($B$9=0,0,B53/$B$9)</f>
        <v>0.223641514661741</v>
      </c>
      <c r="D53" s="1" t="s">
        <v>108</v>
      </c>
    </row>
    <row r="59" customFormat="false" ht="15" hidden="false" customHeight="true" outlineLevel="0" collapsed="false">
      <c r="A59" s="39" t="s">
        <v>109</v>
      </c>
      <c r="B59" s="1" t="s">
        <v>110</v>
      </c>
      <c r="C59" s="40" t="n">
        <v>30000</v>
      </c>
      <c r="D59" s="1" t="s">
        <v>111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6" min="6" style="1" width="32"/>
    <col collapsed="false" customWidth="true" hidden="false" outlineLevel="0" max="7" min="7" style="1" width="16"/>
    <col collapsed="false" customWidth="true" hidden="false" outlineLevel="0" max="8" min="8" style="1" width="22"/>
  </cols>
  <sheetData>
    <row r="1" customFormat="false" ht="24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2</v>
      </c>
      <c r="B3" s="3" t="s">
        <v>56</v>
      </c>
      <c r="C3" s="3" t="s">
        <v>113</v>
      </c>
      <c r="D3" s="3" t="s">
        <v>58</v>
      </c>
      <c r="E3" s="1"/>
      <c r="F3" s="11" t="s">
        <v>114</v>
      </c>
      <c r="G3" s="11" t="s">
        <v>60</v>
      </c>
      <c r="H3" s="11" t="s">
        <v>58</v>
      </c>
    </row>
    <row r="4" customFormat="false" ht="15" hidden="false" customHeight="true" outlineLevel="0" collapsed="false">
      <c r="A4" s="12" t="s">
        <v>13</v>
      </c>
      <c r="B4" s="12"/>
      <c r="C4" s="12"/>
      <c r="D4" s="12"/>
      <c r="F4" s="1" t="s">
        <v>115</v>
      </c>
      <c r="G4" s="7" t="n">
        <f aca="false">Assumptions!F7</f>
        <v>44000</v>
      </c>
    </row>
    <row r="5" customFormat="false" ht="15" hidden="false" customHeight="true" outlineLevel="0" collapsed="false">
      <c r="A5" s="1" t="s">
        <v>17</v>
      </c>
      <c r="B5" s="7" t="n">
        <f aca="false">Assumptions!E6</f>
        <v>700000</v>
      </c>
      <c r="C5" s="5" t="n">
        <f aca="false">IF($B$5=0,0,B5/$B$5)</f>
        <v>1</v>
      </c>
      <c r="D5" s="1" t="s">
        <v>116</v>
      </c>
      <c r="F5" s="1" t="s">
        <v>117</v>
      </c>
      <c r="G5" s="7" t="n">
        <f aca="false">Assumptions!F8</f>
        <v>50600</v>
      </c>
    </row>
    <row r="6" customFormat="false" ht="27.75" hidden="false" customHeight="true" outlineLevel="0" collapsed="false">
      <c r="B6" s="7"/>
      <c r="C6" s="5"/>
      <c r="F6" s="20" t="s">
        <v>118</v>
      </c>
      <c r="G6" s="41" t="n">
        <f aca="false">SUM(G4:G5)</f>
        <v>94600</v>
      </c>
      <c r="H6" s="20" t="s">
        <v>119</v>
      </c>
    </row>
    <row r="7" customFormat="false" ht="15" hidden="false" customHeight="true" outlineLevel="0" collapsed="false">
      <c r="A7" s="17" t="s">
        <v>38</v>
      </c>
      <c r="B7" s="18"/>
      <c r="C7" s="19"/>
      <c r="D7" s="17"/>
    </row>
    <row r="8" customFormat="false" ht="15" hidden="false" customHeight="true" outlineLevel="0" collapsed="false">
      <c r="A8" s="1" t="s">
        <v>39</v>
      </c>
      <c r="B8" s="7" t="n">
        <f aca="false">Assumptions!E22</f>
        <v>250000</v>
      </c>
      <c r="C8" s="5" t="n">
        <f aca="false">IF($B$5=0,0,B8/$B$5)</f>
        <v>0.357142857142857</v>
      </c>
    </row>
    <row r="9" customFormat="false" ht="15" hidden="false" customHeight="true" outlineLevel="0" collapsed="false">
      <c r="A9" s="1" t="s">
        <v>40</v>
      </c>
      <c r="B9" s="7" t="n">
        <f aca="false">Assumptions!E23</f>
        <v>10000</v>
      </c>
      <c r="C9" s="5" t="n">
        <f aca="false">IF($B$5=0,0,B9/$B$5)</f>
        <v>0.0142857142857143</v>
      </c>
    </row>
    <row r="10" customFormat="false" ht="15" hidden="false" customHeight="true" outlineLevel="0" collapsed="false">
      <c r="A10" s="1" t="s">
        <v>41</v>
      </c>
      <c r="B10" s="7" t="n">
        <f aca="false">Assumptions!E24</f>
        <v>10000</v>
      </c>
      <c r="C10" s="5" t="n">
        <f aca="false">IF($B$5=0,0,B10/$B$5)</f>
        <v>0.0142857142857143</v>
      </c>
    </row>
    <row r="11" customFormat="false" ht="15" hidden="false" customHeight="true" outlineLevel="0" collapsed="false">
      <c r="A11" s="1" t="s">
        <v>120</v>
      </c>
      <c r="B11" s="7" t="n">
        <f aca="false">Assumptions!E7</f>
        <v>200000</v>
      </c>
      <c r="C11" s="5" t="n">
        <f aca="false">IF($B$5=0,0,B11/$B$5)</f>
        <v>0.285714285714286</v>
      </c>
      <c r="D11" s="1" t="s">
        <v>19</v>
      </c>
    </row>
    <row r="12" customFormat="false" ht="15" hidden="false" customHeight="true" outlineLevel="0" collapsed="false">
      <c r="A12" s="1" t="s">
        <v>121</v>
      </c>
      <c r="B12" s="7" t="n">
        <f aca="false">Assumptions!E8</f>
        <v>230000</v>
      </c>
      <c r="C12" s="5" t="n">
        <f aca="false">IF($B$5=0,0,B12/$B$5)</f>
        <v>0.328571428571429</v>
      </c>
      <c r="D12" s="1" t="s">
        <v>19</v>
      </c>
    </row>
    <row r="13" customFormat="false" ht="15" hidden="false" customHeight="true" outlineLevel="0" collapsed="false">
      <c r="B13" s="7"/>
      <c r="C13" s="5" t="n">
        <f aca="false">IF($B$5=0,0,B13/$B$5)</f>
        <v>0</v>
      </c>
    </row>
    <row r="14" customFormat="false" ht="15" hidden="false" customHeight="true" outlineLevel="0" collapsed="false">
      <c r="A14" s="24" t="s">
        <v>122</v>
      </c>
      <c r="B14" s="42" t="n">
        <f aca="false">SUM(B8:B12)</f>
        <v>700000</v>
      </c>
      <c r="C14" s="26" t="n">
        <f aca="false">IF($B$5=0,0,B14/$B$5)</f>
        <v>1</v>
      </c>
      <c r="D14" s="24"/>
    </row>
    <row r="15" customFormat="false" ht="15" hidden="false" customHeight="true" outlineLevel="0" collapsed="false">
      <c r="B15" s="7"/>
      <c r="C15" s="5" t="n">
        <f aca="false">IF($B$5=0,0,B15/$B$5)</f>
        <v>0</v>
      </c>
    </row>
    <row r="16" customFormat="false" ht="15" hidden="false" customHeight="true" outlineLevel="0" collapsed="false">
      <c r="A16" s="13" t="s">
        <v>123</v>
      </c>
      <c r="B16" s="14" t="n">
        <f aca="false">B5-B14</f>
        <v>0</v>
      </c>
      <c r="C16" s="15" t="n">
        <f aca="false">IF($B$5=0,0,B16/$B$5)</f>
        <v>0</v>
      </c>
      <c r="D16" s="13" t="s">
        <v>124</v>
      </c>
      <c r="E16" s="1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2"/>
  </cols>
  <sheetData>
    <row r="1" customFormat="false" ht="24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  <c r="H1" s="2"/>
    </row>
    <row r="3" customFormat="false" ht="27.75" hidden="false" customHeight="true" outlineLevel="0" collapsed="false">
      <c r="A3" s="3" t="s">
        <v>2</v>
      </c>
      <c r="B3" s="3" t="s">
        <v>56</v>
      </c>
      <c r="C3" s="3" t="s">
        <v>126</v>
      </c>
      <c r="D3" s="3" t="s">
        <v>58</v>
      </c>
    </row>
    <row r="4" customFormat="false" ht="15" hidden="false" customHeight="true" outlineLevel="0" collapsed="false">
      <c r="A4" s="1" t="s">
        <v>127</v>
      </c>
      <c r="B4" s="7" t="n">
        <f aca="false">Assumptions!E9</f>
        <v>300000</v>
      </c>
      <c r="C4" s="5" t="n">
        <f aca="false">IF($B$6=0,0,B4/$B$6)</f>
        <v>0.666666666666667</v>
      </c>
    </row>
    <row r="5" customFormat="false" ht="15" hidden="false" customHeight="true" outlineLevel="0" collapsed="false">
      <c r="A5" s="1" t="s">
        <v>128</v>
      </c>
      <c r="B5" s="7" t="n">
        <f aca="false">Assumptions!E10</f>
        <v>150000</v>
      </c>
      <c r="C5" s="5" t="n">
        <f aca="false">IF($B$6=0,0,B5/$B$6)</f>
        <v>0.333333333333333</v>
      </c>
    </row>
    <row r="6" customFormat="false" ht="15" hidden="false" customHeight="true" outlineLevel="0" collapsed="false">
      <c r="A6" s="13" t="s">
        <v>129</v>
      </c>
      <c r="B6" s="14" t="n">
        <f aca="false">SUM(B4:B5)</f>
        <v>450000</v>
      </c>
      <c r="C6" s="15" t="n">
        <f aca="false">IF($B$6=0,0,B6/$B$6)</f>
        <v>1</v>
      </c>
      <c r="D6" s="13"/>
    </row>
    <row r="7" customFormat="false" ht="15" hidden="false" customHeight="true" outlineLevel="0" collapsed="false">
      <c r="B7" s="7"/>
      <c r="C7" s="5"/>
    </row>
    <row r="8" customFormat="false" ht="15" hidden="false" customHeight="true" outlineLevel="0" collapsed="false">
      <c r="A8" s="1" t="s">
        <v>47</v>
      </c>
      <c r="B8" s="10" t="n">
        <v>-80000</v>
      </c>
      <c r="C8" s="27" t="n">
        <f aca="false">IF($B$6=0,0,B8/$B$6)</f>
        <v>-0.177777777777778</v>
      </c>
      <c r="D8" s="1" t="s">
        <v>130</v>
      </c>
    </row>
    <row r="9" customFormat="false" ht="15" hidden="false" customHeight="true" outlineLevel="0" collapsed="false">
      <c r="B9" s="7"/>
      <c r="C9" s="5"/>
    </row>
    <row r="10" customFormat="false" ht="15" hidden="false" customHeight="true" outlineLevel="0" collapsed="false">
      <c r="A10" s="1" t="s">
        <v>48</v>
      </c>
      <c r="B10" s="10" t="n">
        <v>-100000</v>
      </c>
      <c r="C10" s="27" t="n">
        <f aca="false">IF($B$6=0,0,B10/$B$6)</f>
        <v>-0.222222222222222</v>
      </c>
      <c r="D10" s="1" t="s">
        <v>131</v>
      </c>
    </row>
    <row r="11" customFormat="false" ht="15" hidden="false" customHeight="true" outlineLevel="0" collapsed="false">
      <c r="A11" s="13" t="s">
        <v>132</v>
      </c>
      <c r="B11" s="43" t="n">
        <f aca="false">B6+B8</f>
        <v>370000</v>
      </c>
      <c r="C11" s="44" t="n">
        <f aca="false">IF($B$6=0,0,B11/$B$6)</f>
        <v>0.822222222222222</v>
      </c>
      <c r="D11" s="13" t="s">
        <v>133</v>
      </c>
    </row>
    <row r="12" customFormat="false" ht="15" hidden="false" customHeight="true" outlineLevel="0" collapsed="false">
      <c r="A12" s="45" t="s">
        <v>134</v>
      </c>
      <c r="B12" s="46" t="n">
        <f aca="false">B11+B10</f>
        <v>270000</v>
      </c>
      <c r="C12" s="31" t="n">
        <f aca="false">IF($B$6=0,0,B12/$B$6)</f>
        <v>0.6</v>
      </c>
      <c r="D12" s="32" t="s">
        <v>88</v>
      </c>
    </row>
    <row r="13" customFormat="false" ht="15" hidden="false" customHeight="true" outlineLevel="0" collapsed="false">
      <c r="A13" s="1" t="s">
        <v>89</v>
      </c>
      <c r="B13" s="33" t="n">
        <f aca="false">IF(B12&gt;0,-B12*0.24,0)</f>
        <v>-64800</v>
      </c>
    </row>
    <row r="14" customFormat="false" ht="15" hidden="false" customHeight="true" outlineLevel="0" collapsed="false">
      <c r="A14" s="45" t="s">
        <v>135</v>
      </c>
      <c r="B14" s="23" t="n">
        <f aca="false">B12+B13</f>
        <v>205200</v>
      </c>
      <c r="C14" s="47"/>
      <c r="D14" s="47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7" min="7" style="1" width="24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24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1"/>
      <c r="G3" s="3" t="s">
        <v>142</v>
      </c>
      <c r="H3" s="3" t="s">
        <v>138</v>
      </c>
      <c r="I3" s="3" t="s">
        <v>139</v>
      </c>
      <c r="J3" s="3" t="s">
        <v>143</v>
      </c>
    </row>
    <row r="4" customFormat="false" ht="15" hidden="false" customHeight="true" outlineLevel="0" collapsed="false">
      <c r="A4" s="1" t="s">
        <v>13</v>
      </c>
      <c r="B4" s="48" t="n">
        <f aca="false">'SRL P&amp;L'!B9</f>
        <v>2130000</v>
      </c>
      <c r="C4" s="48" t="n">
        <f aca="false">'SSD P&amp;L'!B5</f>
        <v>700000</v>
      </c>
      <c r="D4" s="48" t="n">
        <f aca="false">Immobiliare!B6</f>
        <v>450000</v>
      </c>
      <c r="E4" s="48" t="n">
        <f aca="false">Assumptions!E5+Assumptions!E6</f>
        <v>2400000</v>
      </c>
      <c r="G4" s="1" t="s">
        <v>144</v>
      </c>
      <c r="H4" s="49" t="n">
        <f aca="false">IFERROR(Assumptions!E11/'SRL P&amp;L'!B9,"-")</f>
        <v>0.178403755868545</v>
      </c>
      <c r="I4" s="49" t="n">
        <f aca="false">Assumptions!E22/'SSD P&amp;L'!B5</f>
        <v>0.357142857142857</v>
      </c>
      <c r="J4" s="49" t="n">
        <f aca="false">(Assumptions!E11+Assumptions!E22)/(Assumptions!E5+Assumptions!E6)</f>
        <v>0.2625</v>
      </c>
    </row>
    <row r="5" customFormat="false" ht="15" hidden="false" customHeight="true" outlineLevel="0" collapsed="false">
      <c r="A5" s="1" t="s">
        <v>73</v>
      </c>
      <c r="B5" s="48" t="n">
        <f aca="false">'SRL P&amp;L'!B25</f>
        <v>40000</v>
      </c>
      <c r="C5" s="48" t="n">
        <f aca="false">'SSD P&amp;L'!B14</f>
        <v>700000</v>
      </c>
      <c r="D5" s="48" t="n">
        <f aca="false">Immobiliare!B8</f>
        <v>-80000</v>
      </c>
      <c r="E5" s="48" t="n">
        <f aca="false">SUM(Assumptions!E11:E24)</f>
        <v>1058311.47540984</v>
      </c>
      <c r="G5" s="1" t="s">
        <v>145</v>
      </c>
      <c r="H5" s="49" t="n">
        <f aca="false">IFERROR(Assumptions!E12/'SRL P&amp;L'!B9,"-")</f>
        <v>0.0538751635496036</v>
      </c>
      <c r="I5" s="49"/>
      <c r="J5" s="49" t="n">
        <f aca="false">Assumptions!E12/(Assumptions!E5+Assumptions!E6)</f>
        <v>0.0478142076502732</v>
      </c>
    </row>
    <row r="6" customFormat="false" ht="15" hidden="false" customHeight="true" outlineLevel="0" collapsed="false">
      <c r="A6" s="1" t="s">
        <v>146</v>
      </c>
      <c r="B6" s="50" t="n">
        <f aca="false">'SRL P&amp;L'!B34</f>
        <v>860688.524590164</v>
      </c>
      <c r="C6" s="48" t="n">
        <f aca="false">'SSD P&amp;L'!B16</f>
        <v>0</v>
      </c>
      <c r="D6" s="48" t="n">
        <f aca="false">Immobiliare!B11</f>
        <v>370000</v>
      </c>
      <c r="E6" s="48" t="n">
        <f aca="false">E4-E5</f>
        <v>1341688.52459016</v>
      </c>
      <c r="G6" s="1" t="s">
        <v>147</v>
      </c>
      <c r="H6" s="49" t="n">
        <f aca="false">IFERROR(Assumptions!E13/'SRL P&amp;L'!B9,"-")</f>
        <v>0.0115446779034865</v>
      </c>
      <c r="I6" s="49"/>
      <c r="J6" s="49" t="n">
        <f aca="false">Assumptions!E13/(Assumptions!E5+Assumptions!E6)</f>
        <v>0.0102459016393443</v>
      </c>
    </row>
    <row r="7" customFormat="false" ht="15" hidden="false" customHeight="true" outlineLevel="0" collapsed="false">
      <c r="A7" s="1" t="s">
        <v>148</v>
      </c>
      <c r="B7" s="49" t="n">
        <f aca="false">IF(B4=0,0,B6/B4)</f>
        <v>0.404079119525899</v>
      </c>
      <c r="C7" s="49" t="n">
        <f aca="false">IF(C4=0,0,C6/C4)</f>
        <v>0</v>
      </c>
      <c r="D7" s="49" t="n">
        <f aca="false">IF(D4=0,0,D6/D4)</f>
        <v>0.822222222222222</v>
      </c>
      <c r="E7" s="49" t="n">
        <f aca="false">IF(E4=0,0,E6/E4)</f>
        <v>0.559036885245902</v>
      </c>
      <c r="G7" s="1" t="s">
        <v>149</v>
      </c>
      <c r="H7" s="49" t="n">
        <f aca="false">IFERROR(Assumptions!E14/'SRL P&amp;L'!B9,"-")</f>
        <v>0.0384822596782883</v>
      </c>
      <c r="I7" s="49"/>
      <c r="J7" s="49" t="n">
        <f aca="false">Assumptions!E14/(Assumptions!E5+Assumptions!E6)</f>
        <v>0.0341530054644809</v>
      </c>
    </row>
    <row r="8" customFormat="false" ht="15" hidden="false" customHeight="true" outlineLevel="0" collapsed="false">
      <c r="A8" s="1" t="s">
        <v>150</v>
      </c>
      <c r="B8" s="48" t="n">
        <f aca="false">'SRL P&amp;L'!G11</f>
        <v>232828.524590164</v>
      </c>
      <c r="C8" s="48"/>
      <c r="D8" s="48"/>
      <c r="E8" s="48"/>
      <c r="G8" s="1" t="s">
        <v>151</v>
      </c>
      <c r="H8" s="49" t="n">
        <f aca="false">IFERROR(Assumptions!E18/'SRL P&amp;L'!B9,"-")</f>
        <v>0.0140845070422535</v>
      </c>
      <c r="I8" s="49"/>
      <c r="J8" s="49" t="n">
        <f aca="false">Assumptions!E18/(Assumptions!E5+Assumptions!E6)</f>
        <v>0.0125</v>
      </c>
    </row>
    <row r="9" customFormat="false" ht="15" hidden="false" customHeight="true" outlineLevel="0" collapsed="false">
      <c r="A9" s="1" t="s">
        <v>118</v>
      </c>
      <c r="B9" s="48"/>
      <c r="C9" s="48" t="n">
        <f aca="false">'SSD P&amp;L'!G6</f>
        <v>94600</v>
      </c>
      <c r="D9" s="48"/>
      <c r="E9" s="48"/>
      <c r="G9" s="1" t="s">
        <v>152</v>
      </c>
      <c r="H9" s="49" t="n">
        <f aca="false">IFERROR(Assumptions!E19/'SRL P&amp;L'!B9,"-")</f>
        <v>0.0140845070422535</v>
      </c>
      <c r="I9" s="49"/>
      <c r="J9" s="49" t="n">
        <f aca="false">Assumptions!E19/(Assumptions!E5+Assumptions!E6)</f>
        <v>0.0125</v>
      </c>
    </row>
    <row r="10" customFormat="false" ht="15" hidden="false" customHeight="true" outlineLevel="0" collapsed="false">
      <c r="A10" s="1" t="s">
        <v>153</v>
      </c>
      <c r="B10" s="48"/>
      <c r="C10" s="48"/>
      <c r="D10" s="48"/>
      <c r="E10" s="48" t="n">
        <f aca="false">B8+C9</f>
        <v>327428.524590164</v>
      </c>
      <c r="G10" s="1" t="s">
        <v>154</v>
      </c>
      <c r="H10" s="49" t="n">
        <f aca="false">IFERROR(Assumptions!E20/'SRL P&amp;L'!B9,"-")</f>
        <v>0.0140845070422535</v>
      </c>
      <c r="I10" s="49"/>
      <c r="J10" s="49" t="n">
        <f aca="false">Assumptions!E20/(Assumptions!E5+Assumptions!E6)</f>
        <v>0.0125</v>
      </c>
    </row>
    <row r="11" customFormat="false" ht="15" hidden="false" customHeight="true" outlineLevel="0" collapsed="false">
      <c r="A11" s="28" t="s">
        <v>44</v>
      </c>
      <c r="B11" s="40" t="n">
        <f aca="false">'SRL P&amp;L'!B35</f>
        <v>-200000</v>
      </c>
      <c r="D11" s="40" t="n">
        <f aca="false">Immobiliare!B10</f>
        <v>-100000</v>
      </c>
    </row>
    <row r="12" customFormat="false" ht="15" hidden="false" customHeight="true" outlineLevel="0" collapsed="false">
      <c r="A12" s="45" t="s">
        <v>155</v>
      </c>
      <c r="B12" s="51" t="n">
        <f aca="false">'SRL P&amp;L'!B36</f>
        <v>660688.524590164</v>
      </c>
      <c r="D12" s="51" t="n">
        <f aca="false">Immobiliare!B12</f>
        <v>270000</v>
      </c>
      <c r="E12" s="51" t="n">
        <f aca="false">B12+D12</f>
        <v>930688.524590164</v>
      </c>
    </row>
    <row r="13" customFormat="false" ht="15" hidden="false" customHeight="true" outlineLevel="0" collapsed="false">
      <c r="A13" s="1" t="s">
        <v>89</v>
      </c>
      <c r="B13" s="40" t="n">
        <f aca="false">'SRL P&amp;L'!B37</f>
        <v>-158565.245901639</v>
      </c>
      <c r="D13" s="40" t="n">
        <f aca="false">Immobiliare!B13</f>
        <v>-64800</v>
      </c>
      <c r="E13" s="40" t="n">
        <f aca="false">B13+D13</f>
        <v>-223365.245901639</v>
      </c>
    </row>
    <row r="14" customFormat="false" ht="15" hidden="false" customHeight="true" outlineLevel="0" collapsed="false">
      <c r="A14" s="1" t="s">
        <v>156</v>
      </c>
      <c r="B14" s="40" t="n">
        <f aca="false">'SRL P&amp;L'!B38</f>
        <v>-25766.8524590164</v>
      </c>
    </row>
    <row r="15" customFormat="false" ht="15" hidden="false" customHeight="true" outlineLevel="0" collapsed="false">
      <c r="A15" s="45" t="s">
        <v>157</v>
      </c>
      <c r="B15" s="51" t="n">
        <f aca="false">'SRL P&amp;L'!B39</f>
        <v>476356.426229508</v>
      </c>
      <c r="D15" s="51" t="n">
        <f aca="false">Immobiliare!B14</f>
        <v>205200</v>
      </c>
      <c r="E15" s="51" t="n">
        <f aca="false">B15+D15</f>
        <v>681556.426229508</v>
      </c>
    </row>
    <row r="16" customFormat="false" ht="15" hidden="false" customHeight="true" outlineLevel="0" collapsed="false">
      <c r="A16" s="39" t="s">
        <v>158</v>
      </c>
      <c r="B16" s="52" t="n">
        <f aca="false">IF(B4=0,0,B15/B4)</f>
        <v>0.223641514661741</v>
      </c>
      <c r="C16" s="39"/>
      <c r="D16" s="52" t="n">
        <f aca="false">IF(D4=0,0,D15/D4)</f>
        <v>0.456</v>
      </c>
      <c r="E16" s="52" t="n">
        <f aca="false">IF(E4=0,0,E15/E4)</f>
        <v>0.283981844262295</v>
      </c>
    </row>
    <row r="17" customFormat="false" ht="15" hidden="false" customHeight="true" outlineLevel="0" collapsed="false">
      <c r="A17" s="28" t="s">
        <v>159</v>
      </c>
      <c r="G17" s="1" t="s">
        <v>160</v>
      </c>
      <c r="H17" s="49" t="n">
        <f aca="false">IFERROR((Assumptions!E9+Assumptions!E10)/'SRL P&amp;L'!B9,"-")</f>
        <v>0.211267605633803</v>
      </c>
      <c r="I17" s="49"/>
      <c r="J17" s="49" t="n">
        <f aca="false">(Assumptions!E9+Assumptions!E10)/(Assumptions!E5+Assumptions!E6)</f>
        <v>0.1875</v>
      </c>
    </row>
    <row r="18" customFormat="false" ht="95.25" hidden="false" customHeight="true" outlineLevel="0" collapsed="false">
      <c r="A18" s="53"/>
      <c r="F18" s="1"/>
      <c r="G18" s="1" t="s">
        <v>161</v>
      </c>
      <c r="H18" s="49" t="n">
        <f aca="false">IFERROR((Assumptions!E7+Assumptions!E8)/'SRL P&amp;L'!B9,"-")</f>
        <v>0.2018779342723</v>
      </c>
      <c r="I18" s="49" t="n">
        <f aca="false">(Assumptions!E7+Assumptions!E8)/'SSD P&amp;L'!B5</f>
        <v>0.614285714285714</v>
      </c>
      <c r="J18" s="49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2026-04-18T20:09:47Z</dcterms:created>
  <dc:creator>openpyxl</dc:creator>
  <dc:description/>
  <dc:language>en-US</dc:language>
  <cp:lastModifiedBy/>
  <dcterms:modified xsi:type="dcterms:W3CDTF">2026-04-19T11:53:24Z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